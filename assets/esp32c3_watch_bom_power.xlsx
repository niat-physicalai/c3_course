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BOM" sheetId="2" state="visible" r:id="rId4"/>
    <sheet name="Alternates" sheetId="3" state="visible" r:id="rId5"/>
    <sheet name="Pin Map" sheetId="4" state="visible" r:id="rId6"/>
    <sheet name="Power Budget" sheetId="5" state="visible" r:id="rId7"/>
    <sheet name="Runtim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<sst xmlns="http://schemas.openxmlformats.org/spreadsheetml/2006/main" count="369" uniqueCount="323">
  <si>
    <t xml:space="preserve">esp_watch - BOM &amp; Power Budget</t>
  </si>
  <si>
    <t xml:space="preserve">Updated</t>
  </si>
  <si>
    <t xml:space="preserve">3 Oct 2026. Rebuilt for the board as built: XIAO ESP32-C3 carrier PCB with off-the-shelf modules. Replaces the earlier version, which modelled a bare ESP32-C3-MINI board with its own LDO, charger, protection and battery divider. None of those parts are on esp_watch.</t>
  </si>
  <si>
    <t xml:space="preserve">Design basis</t>
  </si>
  <si>
    <t xml:space="preserve">Seeed Studio XIAO ESP32-C3 (onboard charger, 3.3 V regulator, USB-C, U.FL antenna) on a 37.8 x 39 mm 2-layer carrier PCB. No discrete ICs.</t>
  </si>
  <si>
    <t xml:space="preserve">Sensors / display</t>
  </si>
  <si>
    <t xml:space="preserve">MAX30102 black module (underside, on SMD pads), MPU-6050 module (GY-521 clone), SSD1306 0.96in 128x64 OLED on a female header. One I2C bus on D4 (SDA) / D5 (SCL), using the modules' own pull-ups; no resistors on the carrier.</t>
  </si>
  <si>
    <t xml:space="preserve">Battery</t>
  </si>
  <si>
    <t xml:space="preserve">Protected 3.7 V LiPo, 300 mAh, 30 x 12 x 4 mm, off-board, through slide switch SW3 to the XIAO BAT pads. SW3 pads are on the board; the switch is not yet fitted.</t>
  </si>
  <si>
    <t xml:space="preserve">Firmware today</t>
  </si>
  <si>
    <t xml:space="preserve">Always on: no sleep mode and no shake-to-wake. WiFi connects once at switch-on (IST time, Open-Meteo weather), then stays off. Sensors are polled; no interrupts.</t>
  </si>
  <si>
    <t xml:space="preserve">How to use</t>
  </si>
  <si>
    <t xml:space="preserve">Blue cells are inputs you can change. Black cells are formulas. Green cells pull from another sheet. Yellow cells are still to be filled in. Edit currents on 'Power Budget' and hours or battery size on 'Runtime'; everything else recalculates.</t>
  </si>
  <si>
    <t xml:space="preserve">Price basis</t>
  </si>
  <si>
    <t xml:space="preserve">Module prices are EXAMPLE values from Robu listings checked 24 Sep 2026, INR including GST. They are not the author's purchase prices. Recorded actuals: green MAX30102 module Rs 265; JLCPCB order $18.68 paid for 5 boards.</t>
  </si>
  <si>
    <t xml:space="preserve">Caution</t>
  </si>
  <si>
    <t xml:space="preserve">Every current here is MODELLED from datasheets and Seeed's published figures. No current has been measured on esp_watch. Sleep rows describe a PLANNED firmware profile, not today's firmware.</t>
  </si>
  <si>
    <t xml:space="preserve">Sheets</t>
  </si>
  <si>
    <t xml:space="preserve">BOM</t>
  </si>
  <si>
    <t xml:space="preserve">Bill of materials for one board, with example prices and the PCB order.</t>
  </si>
  <si>
    <t xml:space="preserve">Alternates</t>
  </si>
  <si>
    <t xml:space="preserve">Substitutes if a part is unavailable or obsolete, and what each changes.</t>
  </si>
  <si>
    <t xml:space="preserve">Pin Map</t>
  </si>
  <si>
    <t xml:space="preserve">XIAO ESP32-C3 pin assignment as built.</t>
  </si>
  <si>
    <t xml:space="preserve">Power Budget</t>
  </si>
  <si>
    <t xml:space="preserve">Modelled current of each block in each state.</t>
  </si>
  <si>
    <t xml:space="preserve">Runtime</t>
  </si>
  <si>
    <t xml:space="preserve">Current per state, daily charge and battery life for today's firmware and the planned profile.</t>
  </si>
  <si>
    <t xml:space="preserve">#</t>
  </si>
  <si>
    <t xml:space="preserve">Ref</t>
  </si>
  <si>
    <t xml:space="preserve">Qty</t>
  </si>
  <si>
    <t xml:space="preserve">Description</t>
  </si>
  <si>
    <t xml:space="preserve">Manufacturer</t>
  </si>
  <si>
    <t xml:space="preserve">Part / variant</t>
  </si>
  <si>
    <t xml:space="preserve">Mounting</t>
  </si>
  <si>
    <t xml:space="preserve">Supplier (example)</t>
  </si>
  <si>
    <t xml:space="preserve">Unit INR</t>
  </si>
  <si>
    <t xml:space="preserve">Ext INR</t>
  </si>
  <si>
    <t xml:space="preserve">Notes</t>
  </si>
  <si>
    <t xml:space="preserve">U1</t>
  </si>
  <si>
    <t xml:space="preserve">MCU board: ESP32-C3, WiFi + BLE 5, 4 MB flash, onboard LiPo charger, 3.3 V regulator, USB-C, U.FL antenna supplied</t>
  </si>
  <si>
    <t xml:space="preserve">Seeed Studio</t>
  </si>
  <si>
    <t xml:space="preserve">XIAO ESP32C3</t>
  </si>
  <si>
    <t xml:space="preserve">Top side, castellated / header</t>
  </si>
  <si>
    <t xml:space="preserve">Robu</t>
  </si>
  <si>
    <t xml:space="preserve">Robu Rs 849 incl. GST, out of stock (24 Sep 2026). External antenna on U.FL: no copper under it, keep it away from the battery.</t>
  </si>
  <si>
    <t xml:space="preserve">U2</t>
  </si>
  <si>
    <t xml:space="preserve">Heart-rate / SpO2 sensor module, MAX30102, BLACK (3.3 V I2C)</t>
  </si>
  <si>
    <t xml:space="preserve">Generic</t>
  </si>
  <si>
    <t xml:space="preserve">MAX30102 module, black</t>
  </si>
  <si>
    <t xml:space="preserve">Bottom side, 8 SMD pads (MAX30102_module footprint)</t>
  </si>
  <si>
    <t xml:space="preserve">Robu Rs 179 incl. GST, out of stock (24 Sep 2026). Use the black module: the green one's pull-ups go to 1.8 V and clamped the shared bus (measured). Green module bought by the author: Rs 265 (recorded, not used).</t>
  </si>
  <si>
    <t xml:space="preserve">U3</t>
  </si>
  <si>
    <t xml:space="preserve">6-axis IMU module, MPU-6050 (GY-521 style), AD0 to GND, I2C 0x68</t>
  </si>
  <si>
    <t xml:space="preserve">Generic (clone)</t>
  </si>
  <si>
    <t xml:space="preserve">GY-521 MPU-6050</t>
  </si>
  <si>
    <t xml:space="preserve">Top side, header</t>
  </si>
  <si>
    <t xml:space="preserve">Robu Rs 159 incl. GST, out of stock (24 Sep 2026). Clone: WHO_AM_I reads 0x70, works correctly. MPU-6050 chip is obsolete - see Alternates.</t>
  </si>
  <si>
    <t xml:space="preserve">U4</t>
  </si>
  <si>
    <t xml:space="preserve">OLED 0.96in 128x64, SSD1306, I2C 0x3C, 4-pin module, white</t>
  </si>
  <si>
    <t xml:space="preserve">SSD1306 0.96in 4-pin</t>
  </si>
  <si>
    <t xml:space="preserve">Top side, on female header above the MPU</t>
  </si>
  <si>
    <t xml:space="preserve">Robu Rs 229 incl. GST, in stock (24 Sep 2026).</t>
  </si>
  <si>
    <t xml:space="preserve">J1</t>
  </si>
  <si>
    <t xml:space="preserve">Female header, 4-pin 2.54 mm, for the OLED</t>
  </si>
  <si>
    <t xml:space="preserve">1x4 female header, 2.54 mm</t>
  </si>
  <si>
    <t xml:space="preserve">Top side, THT</t>
  </si>
  <si>
    <t xml:space="preserve">comes along oled display</t>
  </si>
  <si>
    <t xml:space="preserve">OLED sits on it with a 4-5 mm gap above the MPU. Price not recorded.</t>
  </si>
  <si>
    <t xml:space="preserve">SW1, SW2</t>
  </si>
  <si>
    <t xml:space="preserve">Tactile pushbutton, "next" (GPIO10) and "previous" (GPIO3)</t>
  </si>
  <si>
    <t xml:space="preserve">SW_Push (THT)</t>
  </si>
  <si>
    <t xml:space="preserve">robu</t>
  </si>
  <si>
    <t xml:space="preserve">To GND; firmware uses the ESP32-C3 internal pull-ups. Price not recorded.</t>
  </si>
  <si>
    <t xml:space="preserve">SW3</t>
  </si>
  <si>
    <t xml:space="preserve">Slide switch in the battery line</t>
  </si>
  <si>
    <t xml:space="preserve">Wurth Elektronik</t>
  </si>
  <si>
    <t xml:space="preserve">WS-SLTV 450301014042</t>
  </si>
  <si>
    <t xml:space="preserve">Top side, THT (SW_Slide-03_Wuerth-WS-SLTV_10x2.5x6.4_P2.54mm)</t>
  </si>
  <si>
    <t xml:space="preserve">Pads on the board; switch not yet fitted or tested. Price not recorded.</t>
  </si>
  <si>
    <t xml:space="preserve">BT1</t>
  </si>
  <si>
    <t xml:space="preserve">LiPo cell 3.7 V, 300 mAh, 30 x 12 x 4 mm, PROTECTED (own protection circuit)</t>
  </si>
  <si>
    <t xml:space="preserve">300 mAh 30x12x4 mm</t>
  </si>
  <si>
    <t xml:space="preserve">Off-board, wired to XIAO BAT+/BAT- via SW3</t>
  </si>
  <si>
    <t xml:space="preserve">3.7 V cell only on the BAT pads, never 5 V. The XIAO charges it from USB-C. Price not recorded.</t>
  </si>
  <si>
    <t xml:space="preserve">https://www.amazon.in/dp/B0HC9TDL43?ref=ppx_yo2ov_dt_b_fed_asin_title</t>
  </si>
  <si>
    <t xml:space="preserve">Subtotal, priced lines (INR)</t>
  </si>
  <si>
    <t xml:space="preserve">Lines still to price</t>
  </si>
  <si>
    <t xml:space="preserve">Yellow cells: add a dated example price (F0 does this at three quantities).</t>
  </si>
  <si>
    <t xml:space="preserve">PCB order (recorded, JLCPCB quote screenshot asset/pcb/JLCPCB_quote.png)</t>
  </si>
  <si>
    <t xml:space="preserve">Boards ordered</t>
  </si>
  <si>
    <t xml:space="preserve">2-layer, 37.8 x 39 mm (JLCPCB quote page).</t>
  </si>
  <si>
    <t xml:space="preserve">Fabrication (USD)</t>
  </si>
  <si>
    <t xml:space="preserve">Shipping, DHL Express (USD)</t>
  </si>
  <si>
    <t xml:space="preserve">Quoted 2-day build, 2-5 business days shipping.</t>
  </si>
  <si>
    <t xml:space="preserve">Discount (USD)</t>
  </si>
  <si>
    <t xml:space="preserve">Paid (USD)</t>
  </si>
  <si>
    <t xml:space="preserve">Customs / GST on import: not recorded.</t>
  </si>
  <si>
    <t xml:space="preserve">Per board (USD)</t>
  </si>
  <si>
    <t xml:space="preserve">USD to INR rate</t>
  </si>
  <si>
    <t xml:space="preserve">Enter the rate on the day you cost it; the two INR lines below fill in.</t>
  </si>
  <si>
    <t xml:space="preserve">Per board (INR)</t>
  </si>
  <si>
    <t xml:space="preserve">Cost per board, parts + PCB (INR)</t>
  </si>
  <si>
    <t xml:space="preserve">Priced lines only, before shipping on the parts. Incomplete until every yellow cell is filled.</t>
  </si>
  <si>
    <t xml:space="preserve">custom duty</t>
  </si>
  <si>
    <t xml:space="preserve">custom duty paid at india</t>
  </si>
  <si>
    <t xml:space="preserve">Function</t>
  </si>
  <si>
    <t xml:space="preserve">Used on esp_watch</t>
  </si>
  <si>
    <t xml:space="preserve">Alternate</t>
  </si>
  <si>
    <t xml:space="preserve">Why / when to switch</t>
  </si>
  <si>
    <t xml:space="preserve">Board / firmware impact</t>
  </si>
  <si>
    <t xml:space="preserve">MCU board</t>
  </si>
  <si>
    <t xml:space="preserve">XIAO ESP32S3 / XIAO ESP32C6</t>
  </si>
  <si>
    <t xml:space="preserve">Same XIAO footprint and pin labels. S3: more RAM and pins; C6: adds 802.15.4 (Thread/Zigbee).</t>
  </si>
  <si>
    <t xml:space="preserve">Footprint unchanged. Check the GPIO behind each D-label, then rebuild the firmware for the new chip.</t>
  </si>
  <si>
    <t xml:space="preserve">Heart rate</t>
  </si>
  <si>
    <t xml:space="preserve">MAX30102 module, green</t>
  </si>
  <si>
    <t xml:space="preserve">Cheaper and common, but its I2C pull-ups go to 1.8 V. On the shared bus it clamped idle to 1.82 V and 80% of MPU reads failed (measured).</t>
  </si>
  <si>
    <t xml:space="preserve">Only usable with its pull-ups removed or on its own bus. Not recommended.</t>
  </si>
  <si>
    <t xml:space="preserve">MAX30102</t>
  </si>
  <si>
    <t xml:space="preserve">MAX30101 module</t>
  </si>
  <si>
    <t xml:space="preserve">Adds a green LED, which works better for wrist readings during movement.</t>
  </si>
  <si>
    <t xml:space="preserve">Same register map; enable the green LED slot. Check the module's footprint.</t>
  </si>
  <si>
    <t xml:space="preserve">IMU</t>
  </si>
  <si>
    <t xml:space="preserve">MPU-6050 (obsolete, ~3.9 mA running)</t>
  </si>
  <si>
    <t xml:space="preserve">LSM6DS3TR-C module</t>
  </si>
  <si>
    <t xml:space="preserve">In production, hardware pedometer, about 26 uA in low-power mode.</t>
  </si>
  <si>
    <t xml:space="preserve">New driver; can use the chip's step counter. New footprint if the module differs.</t>
  </si>
  <si>
    <t xml:space="preserve">MPU-6050</t>
  </si>
  <si>
    <t xml:space="preserve">LIS2DH12 / BMA400 accelerometer module</t>
  </si>
  <si>
    <t xml:space="preserve">Accelerometer only, a few uA. Enough for steps if no gyro is needed.</t>
  </si>
  <si>
    <t xml:space="preserve">New accel driver; step algorithm kept.</t>
  </si>
  <si>
    <t xml:space="preserve">MPU-6500 module</t>
  </si>
  <si>
    <t xml:space="preserve">Closest upgrade from the same family, lower current.</t>
  </si>
  <si>
    <t xml:space="preserve">Minor register changes; WHO_AM_I differs.</t>
  </si>
  <si>
    <t xml:space="preserve">Display</t>
  </si>
  <si>
    <t xml:space="preserve">SSD1306 0.96in module</t>
  </si>
  <si>
    <t xml:space="preserve">SH1106 1.3in module</t>
  </si>
  <si>
    <t xml:space="preserve">Larger and easier to read, same 128x64 and I2C.</t>
  </si>
  <si>
    <t xml:space="preserve">Different driver (SH1106 library); bigger module, so the board outline and case change.</t>
  </si>
  <si>
    <t xml:space="preserve">SSD1306 module</t>
  </si>
  <si>
    <t xml:space="preserve">Bare 0.96in panel + FPC connector</t>
  </si>
  <si>
    <t xml:space="preserve">Thinner, looks like a product. Needs the panel's support capacitors on the carrier.</t>
  </si>
  <si>
    <t xml:space="preserve">Same SSD1306 driver; new footprint and parts on the carrier.</t>
  </si>
  <si>
    <t xml:space="preserve">300 mAh, 30 x 12 x 4 mm</t>
  </si>
  <si>
    <t xml:space="preserve">301235 (~100 mAh) / 401235 (~150 mAh) / 501235 (~200 mAh)</t>
  </si>
  <si>
    <t xml:space="preserve">Earlier candidates: smaller and thinner, shorter runtime (see Runtime, cell comparison).</t>
  </si>
  <si>
    <t xml:space="preserve">Case cavity changes. Must still be a protected cell.</t>
  </si>
  <si>
    <t xml:space="preserve">Battery level</t>
  </si>
  <si>
    <t xml:space="preserve">(none: no battery reading)</t>
  </si>
  <si>
    <t xml:space="preserve">Divider to an ADC1 pin, or MAX17048 fuel gauge</t>
  </si>
  <si>
    <t xml:space="preserve">esp_watch cannot show battery level. A divider is cheapest; a gauge gives real percentage.</t>
  </si>
  <si>
    <t xml:space="preserve">Divider: two resistors and an ADC1 pin (not ADC2). Gauge: one more I2C device.</t>
  </si>
  <si>
    <t xml:space="preserve">Power switch</t>
  </si>
  <si>
    <t xml:space="preserve">Wurth WS-SLTV 450301014042</t>
  </si>
  <si>
    <t xml:space="preserve">Any SPDT slide switch on 2.54 mm pitch</t>
  </si>
  <si>
    <t xml:space="preserve">If the Wurth part is out of stock.</t>
  </si>
  <si>
    <t xml:space="preserve">Check the footprint and the case cut-out.</t>
  </si>
  <si>
    <t xml:space="preserve">Signal</t>
  </si>
  <si>
    <t xml:space="preserve">XIAO label</t>
  </si>
  <si>
    <t xml:space="preserve">Symbol pin</t>
  </si>
  <si>
    <t xml:space="preserve">Direction</t>
  </si>
  <si>
    <t xml:space="preserve">I2C SDA</t>
  </si>
  <si>
    <t xml:space="preserve">D4</t>
  </si>
  <si>
    <t xml:space="preserve">5</t>
  </si>
  <si>
    <t xml:space="preserve">bidir</t>
  </si>
  <si>
    <t xml:space="preserve">Shared by OLED 0x3C, MPU-6050 0x68, MAX30102 0x57. Pull-ups: the modules' own, left fitted (three pairs in parallel, about 1.5 kOhm). No resistors on the carrier.</t>
  </si>
  <si>
    <t xml:space="preserve">I2C SCL</t>
  </si>
  <si>
    <t xml:space="preserve">D5</t>
  </si>
  <si>
    <t xml:space="preserve">6</t>
  </si>
  <si>
    <t xml:space="preserve">out</t>
  </si>
  <si>
    <t xml:space="preserve">Same bus. Tested at 100 kHz and 400 kHz with the black MAX module.</t>
  </si>
  <si>
    <t xml:space="preserve">Button "next"</t>
  </si>
  <si>
    <t xml:space="preserve">D10</t>
  </si>
  <si>
    <t xml:space="preserve">11</t>
  </si>
  <si>
    <t xml:space="preserve">in, pull-up</t>
  </si>
  <si>
    <t xml:space="preserve">To GND, internal pull-up.</t>
  </si>
  <si>
    <t xml:space="preserve">Button "previous"</t>
  </si>
  <si>
    <t xml:space="preserve">D9</t>
  </si>
  <si>
    <t xml:space="preserve">10</t>
  </si>
  <si>
    <t xml:space="preserve">To GND, internal pull-up. Shares the pin with the XIAO's BOOT button: unpressed, the watch starts normally; held during reset, it starts in download mode.</t>
  </si>
  <si>
    <t xml:space="preserve">(unconnected)</t>
  </si>
  <si>
    <t xml:space="preserve">D0</t>
  </si>
  <si>
    <t xml:space="preserve">1</t>
  </si>
  <si>
    <t xml:space="preserve">-</t>
  </si>
  <si>
    <t xml:space="preserve">Strapping pin, must be high at reset. Left free.</t>
  </si>
  <si>
    <t xml:space="preserve">D1, D2, D3</t>
  </si>
  <si>
    <t xml:space="preserve">2, 3, 4</t>
  </si>
  <si>
    <t xml:space="preserve">No sensor interrupts and no battery sense. D1 and D2 are ADC1 pins, free for a battery divider in a v2.</t>
  </si>
  <si>
    <t xml:space="preserve">D6, D7</t>
  </si>
  <si>
    <t xml:space="preserve">7, 8</t>
  </si>
  <si>
    <t xml:space="preserve">UART TX / RX, left free for debugging.</t>
  </si>
  <si>
    <t xml:space="preserve">D8</t>
  </si>
  <si>
    <t xml:space="preserve">9</t>
  </si>
  <si>
    <t xml:space="preserve">3.3 V rail</t>
  </si>
  <si>
    <t xml:space="preserve">3V3</t>
  </si>
  <si>
    <t xml:space="preserve">12</t>
  </si>
  <si>
    <t xml:space="preserve">power out</t>
  </si>
  <si>
    <t xml:space="preserve">Feeds OLED, IMU and MAX30102. XIAO regulator.</t>
  </si>
  <si>
    <t xml:space="preserve">Ground</t>
  </si>
  <si>
    <t xml:space="preserve">GND</t>
  </si>
  <si>
    <t xml:space="preserve">13</t>
  </si>
  <si>
    <t xml:space="preserve">power</t>
  </si>
  <si>
    <t xml:space="preserve">BAT+ / BAT-</t>
  </si>
  <si>
    <t xml:space="preserve">B+ / B-</t>
  </si>
  <si>
    <t xml:space="preserve">Protected 3.7 V LiPo through SW3 (pads fitted, switch not yet).</t>
  </si>
  <si>
    <t xml:space="preserve">USB</t>
  </si>
  <si>
    <t xml:space="preserve">USB-C</t>
  </si>
  <si>
    <t xml:space="preserve">Programming, serial and charging, on the XIAO itself. Port faces the left of the watch.</t>
  </si>
  <si>
    <t xml:space="preserve">Interrupts</t>
  </si>
  <si>
    <t xml:space="preserve">None used. The firmware polls both sensors over I2C.</t>
  </si>
  <si>
    <t xml:space="preserve">Block</t>
  </si>
  <si>
    <t xml:space="preserve">Operating state</t>
  </si>
  <si>
    <t xml:space="preserve">Current (mA)</t>
  </si>
  <si>
    <t xml:space="preserve">Basis / source</t>
  </si>
  <si>
    <t xml:space="preserve">ESP32-C3</t>
  </si>
  <si>
    <t xml:space="preserve">CPU active, RF off</t>
  </si>
  <si>
    <t xml:space="preserve">Espressif datasheet, CPU running with radio off (20-25 mA typical). Today's loop also waits in delay(), so the real figure may be lower: measure it.</t>
  </si>
  <si>
    <t xml:space="preserve">WiFi connected, idle (modem-sleep avg)</t>
  </si>
  <si>
    <t xml:space="preserve">Espressif datasheet, DTIM modem-sleep average.</t>
  </si>
  <si>
    <t xml:space="preserve">WiFi connected + traffic (avg)</t>
  </si>
  <si>
    <t xml:space="preserve">Average over TX/RX bursts; peaks about 350 mA. Time + weather fetch at switch-on only.</t>
  </si>
  <si>
    <t xml:space="preserve">XIAO ESP32-C3 board</t>
  </si>
  <si>
    <t xml:space="preserve">Deep sleep</t>
  </si>
  <si>
    <t xml:space="preserve">REFERENCE-PRODUCT section 4 (Seeed published, about 43 uA; Seeed wiki lists about 44 uA). Not used by today's firmware.</t>
  </si>
  <si>
    <t xml:space="preserve">SSD1306 0.96in OLED</t>
  </si>
  <si>
    <t xml:space="preserve">On, typical watch face</t>
  </si>
  <si>
    <t xml:space="preserve">Module-level estimate incl. charge pump. Full white about 25 mA, mostly dark face about 7 mA.</t>
  </si>
  <si>
    <t xml:space="preserve">Display off (sleep command)</t>
  </si>
  <si>
    <t xml:space="preserve">Panel asleep; module leaks a little.</t>
  </si>
  <si>
    <t xml:space="preserve">Accel + gyro, normal mode</t>
  </si>
  <si>
    <t xml:space="preserve">Datasheet. Today's firmware leaves it running.</t>
  </si>
  <si>
    <t xml:space="preserve">Sleep</t>
  </si>
  <si>
    <t xml:space="preserve">Datasheet, about 5 uA.</t>
  </si>
  <si>
    <t xml:space="preserve">Measuring, IR + red</t>
  </si>
  <si>
    <t xml:space="preserve">Datasheet; LED current dominates.</t>
  </si>
  <si>
    <t xml:space="preserve">Shutdown</t>
  </si>
  <si>
    <t xml:space="preserve">Datasheet, 0.7 uA.</t>
  </si>
  <si>
    <t xml:space="preserve">Whole board (planned)</t>
  </si>
  <si>
    <t xml:space="preserve">Optimised idle, light sleep + BLE - low</t>
  </si>
  <si>
    <t xml:space="preserve">REFERENCE-PRODUCT section 4: modelled 'optimised idle' 1-3 mA. PLANNED firmware, not built.</t>
  </si>
  <si>
    <t xml:space="preserve">Optimised idle, light sleep + BLE - high</t>
  </si>
  <si>
    <t xml:space="preserve">As above, upper end.</t>
  </si>
  <si>
    <t xml:space="preserve">Seeed's published XIAO figures (board alone, for comparison)</t>
  </si>
  <si>
    <t xml:space="preserve">Active</t>
  </si>
  <si>
    <t xml:space="preserve">below 75 mA</t>
  </si>
  <si>
    <t xml:space="preserve">https://wiki.seeedstudio.com/XIAO_ESP32C3_Getting_Started/</t>
  </si>
  <si>
    <t xml:space="preserve">Modem-sleep</t>
  </si>
  <si>
    <t xml:space="preserve">below 25 mA</t>
  </si>
  <si>
    <t xml:space="preserve">Light sleep</t>
  </si>
  <si>
    <t xml:space="preserve">below 4 mA</t>
  </si>
  <si>
    <t xml:space="preserve">about 43-44 uA</t>
  </si>
  <si>
    <t xml:space="preserve">Battery life model (modelled currents, not measured)</t>
  </si>
  <si>
    <t xml:space="preserve">Battery capacity (mAh)</t>
  </si>
  <si>
    <t xml:space="preserve">Protected LiPo, 30 x 12 x 4 mm (fitted cell)</t>
  </si>
  <si>
    <t xml:space="preserve">Usable fraction</t>
  </si>
  <si>
    <t xml:space="preserve">Assumption: do not run a LiPo flat; it also loses capacity with age.</t>
  </si>
  <si>
    <t xml:space="preserve">Usable capacity (mAh)</t>
  </si>
  <si>
    <t xml:space="preserve">Planned usage profile (author's power model)</t>
  </si>
  <si>
    <t xml:space="preserve">Screen wakes per day</t>
  </si>
  <si>
    <t xml:space="preserve">Seconds on per wake</t>
  </si>
  <si>
    <t xml:space="preserve">Heart-rate readings per day</t>
  </si>
  <si>
    <t xml:space="preserve">Seconds per reading</t>
  </si>
  <si>
    <t xml:space="preserve">Screen-on hours per day</t>
  </si>
  <si>
    <t xml:space="preserve">Screen times out after 30 s (planned: today's firmware is always on).</t>
  </si>
  <si>
    <t xml:space="preserve">Heart-rate hours per day</t>
  </si>
  <si>
    <t xml:space="preserve">State</t>
  </si>
  <si>
    <t xml:space="preserve">What is running</t>
  </si>
  <si>
    <t xml:space="preserve">S1  Screen on, CPU active, WiFi off</t>
  </si>
  <si>
    <t xml:space="preserve">Today's firmware after switch-on: display on, loop running, MPU-6050 running. MAX30102 shut down.</t>
  </si>
  <si>
    <t xml:space="preserve">S2  Screen on, WiFi connected</t>
  </si>
  <si>
    <t xml:space="preserve">The model's 'screen on' figure (~36 mA). Conservative for the planned profile, since WiFi is off after boot.</t>
  </si>
  <si>
    <t xml:space="preserve">S3  Heart-rate measurement</t>
  </si>
  <si>
    <t xml:space="preserve">LEDs on, screen showing the reading, MPU still running (no motion check).</t>
  </si>
  <si>
    <t xml:space="preserve">S4  WiFi sync burst</t>
  </si>
  <si>
    <t xml:space="preserve">Time + weather fetch at switch-on. Seconds, once.</t>
  </si>
  <si>
    <t xml:space="preserve">S5  Planned sleep, low</t>
  </si>
  <si>
    <t xml:space="preserve">Planned light sleep + BLE, best case. Not in today's firmware.</t>
  </si>
  <si>
    <t xml:space="preserve">S6  Planned sleep, high</t>
  </si>
  <si>
    <t xml:space="preserve">Planned light sleep + BLE, worst case. Not in today's firmware.</t>
  </si>
  <si>
    <t xml:space="preserve">S7  Deep sleep (illustration)</t>
  </si>
  <si>
    <t xml:space="preserve">XIAO deep sleep with every module asleep. Illustration only: esp_watch has no sleep mode.</t>
  </si>
  <si>
    <t xml:space="preserve">Scenarios - hours per day in each state (blue = edit; black = rest of the day)</t>
  </si>
  <si>
    <t xml:space="preserve">Scenario</t>
  </si>
  <si>
    <t xml:space="preserve">S1 scr+CPU</t>
  </si>
  <si>
    <t xml:space="preserve">S2 scr+WiFi</t>
  </si>
  <si>
    <t xml:space="preserve">S3 HR</t>
  </si>
  <si>
    <t xml:space="preserve">S4 WiFi burst</t>
  </si>
  <si>
    <t xml:space="preserve">S5 sleep lo</t>
  </si>
  <si>
    <t xml:space="preserve">S6 sleep hi</t>
  </si>
  <si>
    <t xml:space="preserve">S7 deep</t>
  </si>
  <si>
    <t xml:space="preserve">Check (h)</t>
  </si>
  <si>
    <t xml:space="preserve">Note</t>
  </si>
  <si>
    <t xml:space="preserve">A. Today's firmware, always on</t>
  </si>
  <si>
    <t xml:space="preserve">Switch-on WiFi burst (~36 s), then screen and loop on all day.</t>
  </si>
  <si>
    <t xml:space="preserve">B. Planned profile, sleep low (1 mA)</t>
  </si>
  <si>
    <t xml:space="preserve">A0 / B3 worked example, best case. Screen-on uses the conservative S2 figure.</t>
  </si>
  <si>
    <t xml:space="preserve">C. Planned profile, sleep high (3 mA)</t>
  </si>
  <si>
    <t xml:space="preserve">Same, worst case.</t>
  </si>
  <si>
    <t xml:space="preserve">D. Planned profile + deep sleep (illustration)</t>
  </si>
  <si>
    <t xml:space="preserve">Shows the ceiling if the watch deep-slept between uses. Wake-up costs not modelled.</t>
  </si>
  <si>
    <t xml:space="preserve">E. Heart rate measured continuously</t>
  </si>
  <si>
    <t xml:space="preserve">B3 Case 1.</t>
  </si>
  <si>
    <t xml:space="preserve">Results</t>
  </si>
  <si>
    <t xml:space="preserve">Avg current (mA)</t>
  </si>
  <si>
    <t xml:space="preserve">Charge per day (mAh)</t>
  </si>
  <si>
    <t xml:space="preserve">Runtime (hours)</t>
  </si>
  <si>
    <t xml:space="preserve">Runtime (days)</t>
  </si>
  <si>
    <t xml:space="preserve">Cell comparison - planned profile (days)</t>
  </si>
  <si>
    <t xml:space="preserve">Cell</t>
  </si>
  <si>
    <t xml:space="preserve">Rated mAh</t>
  </si>
  <si>
    <t xml:space="preserve">Usable mAh</t>
  </si>
  <si>
    <t xml:space="preserve">Days, sleep low</t>
  </si>
  <si>
    <t xml:space="preserve">Days, sleep high</t>
  </si>
  <si>
    <t xml:space="preserve">301235 (earlier candidate)</t>
  </si>
  <si>
    <t xml:space="preserve">401235 (earlier candidate)</t>
  </si>
  <si>
    <t xml:space="preserve">501235 (earlier candidate)</t>
  </si>
  <si>
    <t xml:space="preserve">Fitted cell, 30 x 12 x 4 mm</t>
  </si>
  <si>
    <t xml:space="preserve">Every current is modelled, not measured. Expect +/-30% until the board is measured with a bench supply or power profiler.</t>
  </si>
  <si>
    <t xml:space="preserve">Scenario A is what the watch does today: it never sleeps, so the 300 mAh cell lasts hours, not days.</t>
  </si>
  <si>
    <t xml:space="preserve">B and C are the author's PLANNED profile (30 s screen timeout, then sleep). They match REFERENCE-PRODUCT section 4: about 6.0 and 2.8 days.</t>
  </si>
  <si>
    <t xml:space="preserve">Sleep dominates the planned profile: about 23.5 h a day. The sleep current, not the screen, sets the runtime.</t>
  </si>
  <si>
    <t xml:space="preserve">Charging is done by the XIAO's onboard charger from USB-C; its charge current is set by the XIAO, not this board.</t>
  </si>
</sst>
</file>

<file path=xl/styles.xml><?xml version="1.0" encoding="utf-8"?>
<styleSheet xmlns="http://schemas.openxmlformats.org/spreadsheetml/2006/main">
  <numFmts count="9">
    <numFmt numFmtId="164" formatCode="General"/>
    <numFmt numFmtId="165" formatCode="#,##0"/>
    <numFmt numFmtId="166" formatCode="0"/>
    <numFmt numFmtId="167" formatCode="\$#,##0.00"/>
    <numFmt numFmtId="168" formatCode="\$#,##0.00;&quot;-$&quot;#,##0.00"/>
    <numFmt numFmtId="169" formatCode="0.00"/>
    <numFmt numFmtId="170" formatCode="0.000"/>
    <numFmt numFmtId="171" formatCode="0%"/>
    <numFmt numFmtId="172" formatCode="0.0"/>
  </numFmts>
  <fonts count="12">
    <font>
      <sz val="11"/>
      <color theme="1"/>
      <name val="Calibri"/>
      <family val="2"/>
      <charset val="1"/>
    </font>
    <font>
      <sz val="10"/>
      <name val="Arial"/>
      <family val="0"/>
    </font>
    <font>
      <sz val="10"/>
      <name val="Arial"/>
      <family val="0"/>
    </font>
    <font>
      <sz val="10"/>
      <name val="Arial"/>
      <family val="0"/>
    </font>
    <font>
      <b val="true"/>
      <sz val="14"/>
      <color theme="1"/>
      <name val="Arial"/>
      <family val="0"/>
      <charset val="1"/>
    </font>
    <font>
      <b val="true"/>
      <sz val="11"/>
      <color theme="1"/>
      <name val="Arial"/>
      <family val="0"/>
      <charset val="1"/>
    </font>
    <font>
      <sz val="10"/>
      <color theme="1"/>
      <name val="Arial"/>
      <family val="0"/>
      <charset val="1"/>
    </font>
    <font>
      <u val="single"/>
      <sz val="10"/>
      <color theme="1"/>
      <name val="Arial"/>
      <family val="0"/>
      <charset val="1"/>
    </font>
    <font>
      <sz val="10"/>
      <color rgb="FF0000FF"/>
      <name val="Arial"/>
      <family val="0"/>
      <charset val="1"/>
    </font>
    <font>
      <b val="true"/>
      <sz val="11"/>
      <color rgb="FFFFFFFF"/>
      <name val="Arial"/>
      <family val="0"/>
      <charset val="1"/>
    </font>
    <font>
      <b val="true"/>
      <sz val="11"/>
      <name val="Arial"/>
      <family val="0"/>
      <charset val="1"/>
    </font>
    <font>
      <b val="true"/>
      <sz val="13"/>
      <color theme="1"/>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FFF00"/>
        <bgColor rgb="FFFFFF00"/>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5" fontId="6"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9" fontId="6" fillId="3"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9" fontId="6" fillId="0" borderId="0" xfId="0" applyFont="true" applyBorder="false" applyAlignment="true" applyProtection="false">
      <alignment horizontal="general" vertical="top" textRotation="0" wrapText="true" indent="0" shrinkToFit="false"/>
      <protection locked="true" hidden="false"/>
    </xf>
    <xf numFmtId="172" fontId="6" fillId="0" borderId="0" xfId="0" applyFont="true" applyBorder="false" applyAlignment="true" applyProtection="false">
      <alignment horizontal="general" vertical="top" textRotation="0" wrapText="true" indent="0" shrinkToFit="false"/>
      <protection locked="true" hidden="false"/>
    </xf>
    <xf numFmtId="166"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robu.in/product/seeed-studio-xiao-esp32c3-tiny-mcu-board-with-wi-fi-and-ble-battery-charge-supported-power-efficiency-and-rich-interface/" TargetMode="External"/><Relationship Id="rId2" Type="http://schemas.openxmlformats.org/officeDocument/2006/relationships/hyperlink" Target="https://robu.in/product/max30102-heart-rate-and-pulse-oximeter-sensor-module-black/" TargetMode="External"/><Relationship Id="rId3" Type="http://schemas.openxmlformats.org/officeDocument/2006/relationships/hyperlink" Target="https://robu.in/product/mpu-6050-gyro-sensor-2-accelerometer/" TargetMode="External"/><Relationship Id="rId4" Type="http://schemas.openxmlformats.org/officeDocument/2006/relationships/hyperlink" Target="https://robu.in/product/0-96-inch-i2c-iic-oled-lcd-module-4pin-with-vcc-gnd-white/" TargetMode="External"/><Relationship Id="rId5" Type="http://schemas.openxmlformats.org/officeDocument/2006/relationships/hyperlink" Target="https://robu.in/product/6x6x5-tactile-push-button-switch/?gad_source=1&amp;gad_campaignid=17416544847&amp;gclid=CjwKCAjwrP3VBhBbEiwAnaqpQx96na8pLDUasOXAsF-T0BATM45pC0fZmQhYJktI1u_gbKphccnIPBoClQEQAvD_BwE" TargetMode="External"/><Relationship Id="rId6" Type="http://schemas.openxmlformats.org/officeDocument/2006/relationships/hyperlink" Target="https://robu.in/product/ss-12d10l7-xkb-direct-insert-3a-single-pole-double-throw-spdt-125v-125v-3a-10000-times-black-plugin-slide-switches-rohs/?gad_source=1&amp;gad_campaignid=17427802703&amp;gclid=CjwKCAjwrP3VBhBbEiwAnaqpQ4lQWtV6OY1h1fSevlFXD9WCZ3M55Kb4aVAJ-TUyYu0Bcp6l6lQbgxoCVMcQAvD_BwE" TargetMode="External"/><Relationship Id="rId7" Type="http://schemas.openxmlformats.org/officeDocument/2006/relationships/hyperlink" Target="https://www.amazon.in/dp/B0HC9TDL43?ref=ppx_yo2ov_dt_b_fed_asin_titl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1" width="26"/>
    <col collapsed="false" customWidth="true" hidden="false" outlineLevel="0" max="2" min="2" style="1" width="105"/>
  </cols>
  <sheetData>
    <row r="1" customFormat="false" ht="17.25" hidden="false" customHeight="true" outlineLevel="0" collapsed="false">
      <c r="A1" s="2" t="s">
        <v>0</v>
      </c>
    </row>
    <row r="2" customFormat="false" ht="13.5" hidden="false" customHeight="true" outlineLevel="0" collapsed="false"/>
    <row r="3" customFormat="false" ht="23.25" hidden="false" customHeight="true" outlineLevel="0" collapsed="false">
      <c r="A3" s="3" t="s">
        <v>1</v>
      </c>
      <c r="B3" s="4" t="s">
        <v>2</v>
      </c>
    </row>
    <row r="4" customFormat="false" ht="13.5" hidden="false" customHeight="true" outlineLevel="0" collapsed="false">
      <c r="A4" s="3" t="s">
        <v>3</v>
      </c>
      <c r="B4" s="4" t="s">
        <v>4</v>
      </c>
    </row>
    <row r="5" customFormat="false" ht="23.25" hidden="false" customHeight="true" outlineLevel="0" collapsed="false">
      <c r="A5" s="3" t="s">
        <v>5</v>
      </c>
      <c r="B5" s="4" t="s">
        <v>6</v>
      </c>
    </row>
    <row r="6" customFormat="false" ht="23.25" hidden="false" customHeight="true" outlineLevel="0" collapsed="false">
      <c r="A6" s="3" t="s">
        <v>7</v>
      </c>
      <c r="B6" s="4" t="s">
        <v>8</v>
      </c>
    </row>
    <row r="7" customFormat="false" ht="23.25" hidden="false" customHeight="true" outlineLevel="0" collapsed="false">
      <c r="A7" s="3" t="s">
        <v>9</v>
      </c>
      <c r="B7" s="4" t="s">
        <v>10</v>
      </c>
    </row>
    <row r="8" customFormat="false" ht="23.25" hidden="false" customHeight="true" outlineLevel="0" collapsed="false">
      <c r="A8" s="3" t="s">
        <v>11</v>
      </c>
      <c r="B8" s="4" t="s">
        <v>12</v>
      </c>
    </row>
    <row r="9" customFormat="false" ht="23.25" hidden="false" customHeight="true" outlineLevel="0" collapsed="false">
      <c r="A9" s="3" t="s">
        <v>13</v>
      </c>
      <c r="B9" s="4" t="s">
        <v>14</v>
      </c>
    </row>
    <row r="10" customFormat="false" ht="23.25" hidden="false" customHeight="true" outlineLevel="0" collapsed="false">
      <c r="A10" s="3" t="s">
        <v>15</v>
      </c>
      <c r="B10" s="4" t="s">
        <v>16</v>
      </c>
    </row>
    <row r="11" customFormat="false" ht="13.5" hidden="false" customHeight="true" outlineLevel="0" collapsed="false"/>
    <row r="12" customFormat="false" ht="13.5" hidden="false" customHeight="true" outlineLevel="0" collapsed="false">
      <c r="A12" s="3" t="s">
        <v>17</v>
      </c>
    </row>
    <row r="13" customFormat="false" ht="12.75" hidden="false" customHeight="true" outlineLevel="0" collapsed="false">
      <c r="A13" s="5" t="s">
        <v>18</v>
      </c>
      <c r="B13" s="4" t="s">
        <v>19</v>
      </c>
    </row>
    <row r="14" customFormat="false" ht="12.75" hidden="false" customHeight="true" outlineLevel="0" collapsed="false">
      <c r="A14" s="5" t="s">
        <v>20</v>
      </c>
      <c r="B14" s="4" t="s">
        <v>21</v>
      </c>
    </row>
    <row r="15" customFormat="false" ht="12.75" hidden="false" customHeight="true" outlineLevel="0" collapsed="false">
      <c r="A15" s="5" t="s">
        <v>22</v>
      </c>
      <c r="B15" s="4" t="s">
        <v>23</v>
      </c>
    </row>
    <row r="16" customFormat="false" ht="12.75" hidden="false" customHeight="true" outlineLevel="0" collapsed="false">
      <c r="A16" s="5" t="s">
        <v>24</v>
      </c>
      <c r="B16" s="4" t="s">
        <v>25</v>
      </c>
    </row>
    <row r="17" customFormat="false" ht="12.75" hidden="false" customHeight="true" outlineLevel="0" collapsed="false">
      <c r="A17" s="5" t="s">
        <v>26</v>
      </c>
      <c r="B17" s="4"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25" activeCellId="0" sqref="G25"/>
    </sheetView>
  </sheetViews>
  <sheetFormatPr defaultColWidth="8.59765625" defaultRowHeight="15" customHeight="false" zeroHeight="false" outlineLevelRow="0" outlineLevelCol="0"/>
  <cols>
    <col collapsed="false" customWidth="true" hidden="false" outlineLevel="0" max="1" min="1" style="1" width="4"/>
    <col collapsed="false" customWidth="true" hidden="false" outlineLevel="0" max="2" min="2" style="1" width="10"/>
    <col collapsed="false" customWidth="true" hidden="false" outlineLevel="0" max="3" min="3" style="1" width="5"/>
    <col collapsed="false" customWidth="true" hidden="false" outlineLevel="0" max="4" min="4" style="1" width="34"/>
    <col collapsed="false" customWidth="true" hidden="false" outlineLevel="0" max="5" min="5" style="1" width="16"/>
    <col collapsed="false" customWidth="true" hidden="false" outlineLevel="0" max="6" min="6" style="1" width="26"/>
    <col collapsed="false" customWidth="true" hidden="false" outlineLevel="0" max="7" min="7" style="1" width="22"/>
    <col collapsed="false" customWidth="true" hidden="false" outlineLevel="0" max="8" min="8" style="1" width="18"/>
    <col collapsed="false" customWidth="true" hidden="false" outlineLevel="0" max="9" min="9" style="1" width="10"/>
    <col collapsed="false" customWidth="true" hidden="false" outlineLevel="0" max="10" min="10" style="1" width="11"/>
    <col collapsed="false" customWidth="true" hidden="false" outlineLevel="0" max="11" min="11" style="1" width="60"/>
  </cols>
  <sheetData>
    <row r="1" customFormat="false" ht="13.5" hidden="false" customHeight="true" outlineLevel="0" collapsed="false">
      <c r="A1" s="6" t="s">
        <v>28</v>
      </c>
      <c r="B1" s="6" t="s">
        <v>29</v>
      </c>
      <c r="C1" s="6" t="s">
        <v>30</v>
      </c>
      <c r="D1" s="6" t="s">
        <v>31</v>
      </c>
      <c r="E1" s="6" t="s">
        <v>32</v>
      </c>
      <c r="F1" s="6" t="s">
        <v>33</v>
      </c>
      <c r="G1" s="6" t="s">
        <v>34</v>
      </c>
      <c r="H1" s="6" t="s">
        <v>35</v>
      </c>
      <c r="I1" s="6" t="s">
        <v>36</v>
      </c>
      <c r="J1" s="6" t="s">
        <v>37</v>
      </c>
      <c r="K1" s="6" t="s">
        <v>38</v>
      </c>
    </row>
    <row r="2" customFormat="false" ht="34.5" hidden="false" customHeight="true" outlineLevel="0" collapsed="false">
      <c r="A2" s="4" t="n">
        <v>1</v>
      </c>
      <c r="B2" s="4" t="s">
        <v>39</v>
      </c>
      <c r="C2" s="4" t="n">
        <v>1</v>
      </c>
      <c r="D2" s="4" t="s">
        <v>40</v>
      </c>
      <c r="E2" s="4" t="s">
        <v>41</v>
      </c>
      <c r="F2" s="4" t="s">
        <v>42</v>
      </c>
      <c r="G2" s="4" t="s">
        <v>43</v>
      </c>
      <c r="H2" s="7" t="s">
        <v>44</v>
      </c>
      <c r="I2" s="8" t="n">
        <v>849</v>
      </c>
      <c r="J2" s="8" t="n">
        <f aca="false">IF(I2="","",C2*I2)</f>
        <v>849</v>
      </c>
      <c r="K2" s="4" t="s">
        <v>45</v>
      </c>
    </row>
    <row r="3" customFormat="false" ht="34.5" hidden="false" customHeight="true" outlineLevel="0" collapsed="false">
      <c r="A3" s="4" t="n">
        <v>2</v>
      </c>
      <c r="B3" s="4" t="s">
        <v>46</v>
      </c>
      <c r="C3" s="4" t="n">
        <v>1</v>
      </c>
      <c r="D3" s="4" t="s">
        <v>47</v>
      </c>
      <c r="E3" s="4" t="s">
        <v>48</v>
      </c>
      <c r="F3" s="4" t="s">
        <v>49</v>
      </c>
      <c r="G3" s="4" t="s">
        <v>50</v>
      </c>
      <c r="H3" s="7" t="s">
        <v>44</v>
      </c>
      <c r="I3" s="8" t="n">
        <v>179</v>
      </c>
      <c r="J3" s="8" t="n">
        <f aca="false">IF(I3="","",C3*I3)</f>
        <v>179</v>
      </c>
      <c r="K3" s="4" t="s">
        <v>51</v>
      </c>
    </row>
    <row r="4" customFormat="false" ht="23.25" hidden="false" customHeight="true" outlineLevel="0" collapsed="false">
      <c r="A4" s="4" t="n">
        <v>3</v>
      </c>
      <c r="B4" s="4" t="s">
        <v>52</v>
      </c>
      <c r="C4" s="4" t="n">
        <v>1</v>
      </c>
      <c r="D4" s="4" t="s">
        <v>53</v>
      </c>
      <c r="E4" s="4" t="s">
        <v>54</v>
      </c>
      <c r="F4" s="4" t="s">
        <v>55</v>
      </c>
      <c r="G4" s="4" t="s">
        <v>56</v>
      </c>
      <c r="H4" s="7" t="s">
        <v>44</v>
      </c>
      <c r="I4" s="8" t="n">
        <v>159</v>
      </c>
      <c r="J4" s="8" t="n">
        <f aca="false">IF(I4="","",C4*I4)</f>
        <v>159</v>
      </c>
      <c r="K4" s="4" t="s">
        <v>57</v>
      </c>
    </row>
    <row r="5" customFormat="false" ht="23.25" hidden="false" customHeight="true" outlineLevel="0" collapsed="false">
      <c r="A5" s="4" t="n">
        <v>4</v>
      </c>
      <c r="B5" s="4" t="s">
        <v>58</v>
      </c>
      <c r="C5" s="4" t="n">
        <v>1</v>
      </c>
      <c r="D5" s="4" t="s">
        <v>59</v>
      </c>
      <c r="E5" s="4" t="s">
        <v>48</v>
      </c>
      <c r="F5" s="4" t="s">
        <v>60</v>
      </c>
      <c r="G5" s="4" t="s">
        <v>61</v>
      </c>
      <c r="H5" s="7" t="s">
        <v>44</v>
      </c>
      <c r="I5" s="8" t="n">
        <v>229</v>
      </c>
      <c r="J5" s="8" t="n">
        <f aca="false">IF(I5="","",C5*I5)</f>
        <v>229</v>
      </c>
      <c r="K5" s="4" t="s">
        <v>62</v>
      </c>
    </row>
    <row r="6" customFormat="false" ht="23.25" hidden="false" customHeight="true" outlineLevel="0" collapsed="false">
      <c r="A6" s="4" t="n">
        <v>5</v>
      </c>
      <c r="B6" s="4" t="s">
        <v>63</v>
      </c>
      <c r="C6" s="4" t="n">
        <v>1</v>
      </c>
      <c r="D6" s="4" t="s">
        <v>64</v>
      </c>
      <c r="E6" s="4" t="s">
        <v>48</v>
      </c>
      <c r="F6" s="4" t="s">
        <v>65</v>
      </c>
      <c r="G6" s="4" t="s">
        <v>66</v>
      </c>
      <c r="H6" s="4" t="s">
        <v>67</v>
      </c>
      <c r="I6" s="9" t="n">
        <v>0</v>
      </c>
      <c r="J6" s="8" t="n">
        <f aca="false">IF(I6="","",C6*I6)</f>
        <v>0</v>
      </c>
      <c r="K6" s="4" t="s">
        <v>68</v>
      </c>
    </row>
    <row r="7" customFormat="false" ht="23.25" hidden="false" customHeight="true" outlineLevel="0" collapsed="false">
      <c r="A7" s="4" t="n">
        <v>6</v>
      </c>
      <c r="B7" s="4" t="s">
        <v>69</v>
      </c>
      <c r="C7" s="4" t="n">
        <v>2</v>
      </c>
      <c r="D7" s="4" t="s">
        <v>70</v>
      </c>
      <c r="E7" s="4" t="s">
        <v>48</v>
      </c>
      <c r="F7" s="4" t="s">
        <v>71</v>
      </c>
      <c r="G7" s="4" t="s">
        <v>66</v>
      </c>
      <c r="H7" s="10" t="s">
        <v>72</v>
      </c>
      <c r="I7" s="9" t="n">
        <v>19</v>
      </c>
      <c r="J7" s="8" t="n">
        <f aca="false">IF(I7="","",C7*I7)</f>
        <v>38</v>
      </c>
      <c r="K7" s="4" t="s">
        <v>73</v>
      </c>
    </row>
    <row r="8" customFormat="false" ht="34.5" hidden="false" customHeight="true" outlineLevel="0" collapsed="false">
      <c r="A8" s="4" t="n">
        <v>7</v>
      </c>
      <c r="B8" s="4" t="s">
        <v>74</v>
      </c>
      <c r="C8" s="4" t="n">
        <v>1</v>
      </c>
      <c r="D8" s="4" t="s">
        <v>75</v>
      </c>
      <c r="E8" s="4" t="s">
        <v>76</v>
      </c>
      <c r="F8" s="4" t="s">
        <v>77</v>
      </c>
      <c r="G8" s="4" t="s">
        <v>78</v>
      </c>
      <c r="H8" s="10" t="s">
        <v>72</v>
      </c>
      <c r="I8" s="9" t="n">
        <v>22</v>
      </c>
      <c r="J8" s="8" t="n">
        <f aca="false">IF(I8="","",C8*I8)</f>
        <v>22</v>
      </c>
      <c r="K8" s="4" t="s">
        <v>79</v>
      </c>
    </row>
    <row r="9" customFormat="false" ht="23.25" hidden="false" customHeight="true" outlineLevel="0" collapsed="false">
      <c r="A9" s="4" t="n">
        <v>8</v>
      </c>
      <c r="B9" s="4" t="s">
        <v>80</v>
      </c>
      <c r="C9" s="4" t="n">
        <v>1</v>
      </c>
      <c r="D9" s="4" t="s">
        <v>81</v>
      </c>
      <c r="E9" s="4" t="s">
        <v>48</v>
      </c>
      <c r="F9" s="4" t="s">
        <v>82</v>
      </c>
      <c r="G9" s="4" t="s">
        <v>83</v>
      </c>
      <c r="H9" s="10" t="s">
        <v>72</v>
      </c>
      <c r="I9" s="9" t="n">
        <v>299</v>
      </c>
      <c r="J9" s="8" t="n">
        <f aca="false">IF(I9="","",C9*I9)</f>
        <v>299</v>
      </c>
      <c r="K9" s="4" t="s">
        <v>84</v>
      </c>
    </row>
    <row r="10" customFormat="false" ht="23.25" hidden="false" customHeight="true" outlineLevel="0" collapsed="false">
      <c r="A10" s="4"/>
      <c r="B10" s="4"/>
      <c r="C10" s="4"/>
      <c r="D10" s="4"/>
      <c r="E10" s="4"/>
      <c r="F10" s="4"/>
      <c r="G10" s="4"/>
      <c r="H10" s="10" t="s">
        <v>85</v>
      </c>
      <c r="I10" s="8"/>
      <c r="J10" s="8"/>
      <c r="K10" s="4"/>
    </row>
    <row r="11" customFormat="false" ht="13.5" hidden="false" customHeight="true" outlineLevel="0" collapsed="false">
      <c r="H11" s="3" t="s">
        <v>86</v>
      </c>
      <c r="J11" s="11" t="n">
        <f aca="false">SUM(J2:J9)</f>
        <v>1775</v>
      </c>
    </row>
    <row r="12" customFormat="false" ht="13.5" hidden="false" customHeight="true" outlineLevel="0" collapsed="false">
      <c r="H12" s="5" t="s">
        <v>87</v>
      </c>
      <c r="J12" s="12" t="n">
        <f aca="false">COUNTBLANK(I2:I9)</f>
        <v>0</v>
      </c>
      <c r="K12" s="4" t="s">
        <v>88</v>
      </c>
    </row>
    <row r="13" customFormat="false" ht="13.5" hidden="false" customHeight="true" outlineLevel="0" collapsed="false"/>
    <row r="14" customFormat="false" ht="13.5" hidden="false" customHeight="true" outlineLevel="0" collapsed="false">
      <c r="A14" s="3" t="s">
        <v>89</v>
      </c>
    </row>
    <row r="15" customFormat="false" ht="13.5" hidden="false" customHeight="true" outlineLevel="0" collapsed="false">
      <c r="H15" s="5" t="s">
        <v>90</v>
      </c>
      <c r="J15" s="12" t="n">
        <v>5</v>
      </c>
      <c r="K15" s="4" t="s">
        <v>91</v>
      </c>
    </row>
    <row r="16" customFormat="false" ht="13.5" hidden="false" customHeight="true" outlineLevel="0" collapsed="false">
      <c r="H16" s="5" t="s">
        <v>92</v>
      </c>
      <c r="J16" s="13" t="n">
        <v>4</v>
      </c>
    </row>
    <row r="17" customFormat="false" ht="13.5" hidden="false" customHeight="true" outlineLevel="0" collapsed="false">
      <c r="H17" s="5" t="s">
        <v>93</v>
      </c>
      <c r="J17" s="13" t="n">
        <v>24.68</v>
      </c>
      <c r="K17" s="4" t="s">
        <v>94</v>
      </c>
    </row>
    <row r="18" customFormat="false" ht="13.5" hidden="false" customHeight="true" outlineLevel="0" collapsed="false">
      <c r="H18" s="5" t="s">
        <v>95</v>
      </c>
      <c r="J18" s="14" t="n">
        <v>-10</v>
      </c>
    </row>
    <row r="19" customFormat="false" ht="13.5" hidden="false" customHeight="true" outlineLevel="0" collapsed="false">
      <c r="H19" s="3" t="s">
        <v>96</v>
      </c>
      <c r="J19" s="15" t="n">
        <f aca="false">SUM(J16:J18)</f>
        <v>18.68</v>
      </c>
      <c r="K19" s="4" t="s">
        <v>97</v>
      </c>
    </row>
    <row r="20" customFormat="false" ht="13.5" hidden="false" customHeight="true" outlineLevel="0" collapsed="false">
      <c r="H20" s="5" t="s">
        <v>98</v>
      </c>
      <c r="J20" s="13" t="n">
        <f aca="false">IF(J15=0,"",J19/J15)</f>
        <v>3.736</v>
      </c>
    </row>
    <row r="21" customFormat="false" ht="13.5" hidden="false" customHeight="true" outlineLevel="0" collapsed="false">
      <c r="H21" s="5" t="s">
        <v>99</v>
      </c>
      <c r="J21" s="16" t="n">
        <v>1796</v>
      </c>
      <c r="K21" s="4" t="s">
        <v>100</v>
      </c>
    </row>
    <row r="22" customFormat="false" ht="13.5" hidden="false" customHeight="true" outlineLevel="0" collapsed="false">
      <c r="H22" s="5" t="s">
        <v>101</v>
      </c>
      <c r="J22" s="17" t="n">
        <f aca="false">IF(J21="","",J20*J21)</f>
        <v>6709.856</v>
      </c>
    </row>
    <row r="23" customFormat="false" ht="23.25" hidden="false" customHeight="true" outlineLevel="0" collapsed="false">
      <c r="H23" s="3" t="s">
        <v>102</v>
      </c>
      <c r="J23" s="11" t="n">
        <f aca="false">IF(J22="","",J11+J22)</f>
        <v>8484.856</v>
      </c>
      <c r="K23" s="4" t="s">
        <v>103</v>
      </c>
    </row>
    <row r="24" customFormat="false" ht="13.5" hidden="false" customHeight="true" outlineLevel="0" collapsed="false">
      <c r="H24" s="1" t="s">
        <v>104</v>
      </c>
      <c r="J24" s="1" t="n">
        <v>1856</v>
      </c>
      <c r="K24" s="1" t="s">
        <v>105</v>
      </c>
    </row>
  </sheetData>
  <hyperlinks>
    <hyperlink ref="H2" r:id="rId1" display="Robu"/>
    <hyperlink ref="H3" r:id="rId2" display="Robu"/>
    <hyperlink ref="H4" r:id="rId3" display="Robu"/>
    <hyperlink ref="H5" r:id="rId4" display="Robu"/>
    <hyperlink ref="H7" r:id="rId5" display="robu"/>
    <hyperlink ref="H8" r:id="rId6" display="robu"/>
    <hyperlink ref="H10" r:id="rId7" display="https://www.amazon.in/dp/B0HC9TDL43?ref=ppx_yo2ov_dt_b_fed_asin_titl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1" width="18"/>
    <col collapsed="false" customWidth="true" hidden="false" outlineLevel="0" max="2" min="2" style="1" width="26"/>
    <col collapsed="false" customWidth="true" hidden="false" outlineLevel="0" max="3" min="3" style="1" width="32"/>
    <col collapsed="false" customWidth="true" hidden="false" outlineLevel="0" max="4" min="4" style="1" width="56"/>
    <col collapsed="false" customWidth="true" hidden="false" outlineLevel="0" max="5" min="5" style="1" width="46"/>
  </cols>
  <sheetData>
    <row r="1" customFormat="false" ht="13.5" hidden="false" customHeight="true" outlineLevel="0" collapsed="false">
      <c r="A1" s="6" t="s">
        <v>106</v>
      </c>
      <c r="B1" s="6" t="s">
        <v>107</v>
      </c>
      <c r="C1" s="6" t="s">
        <v>108</v>
      </c>
      <c r="D1" s="6" t="s">
        <v>109</v>
      </c>
      <c r="E1" s="6" t="s">
        <v>110</v>
      </c>
    </row>
    <row r="2" customFormat="false" ht="23.25" hidden="false" customHeight="true" outlineLevel="0" collapsed="false">
      <c r="A2" s="4" t="s">
        <v>111</v>
      </c>
      <c r="B2" s="4" t="s">
        <v>42</v>
      </c>
      <c r="C2" s="4" t="s">
        <v>112</v>
      </c>
      <c r="D2" s="4" t="s">
        <v>113</v>
      </c>
      <c r="E2" s="4" t="s">
        <v>114</v>
      </c>
    </row>
    <row r="3" customFormat="false" ht="23.25" hidden="false" customHeight="true" outlineLevel="0" collapsed="false">
      <c r="A3" s="4" t="s">
        <v>115</v>
      </c>
      <c r="B3" s="4" t="s">
        <v>49</v>
      </c>
      <c r="C3" s="4" t="s">
        <v>116</v>
      </c>
      <c r="D3" s="4" t="s">
        <v>117</v>
      </c>
      <c r="E3" s="4" t="s">
        <v>118</v>
      </c>
    </row>
    <row r="4" customFormat="false" ht="23.25" hidden="false" customHeight="true" outlineLevel="0" collapsed="false">
      <c r="A4" s="4" t="s">
        <v>115</v>
      </c>
      <c r="B4" s="4" t="s">
        <v>119</v>
      </c>
      <c r="C4" s="4" t="s">
        <v>120</v>
      </c>
      <c r="D4" s="4" t="s">
        <v>121</v>
      </c>
      <c r="E4" s="4" t="s">
        <v>122</v>
      </c>
    </row>
    <row r="5" customFormat="false" ht="23.25" hidden="false" customHeight="true" outlineLevel="0" collapsed="false">
      <c r="A5" s="4" t="s">
        <v>123</v>
      </c>
      <c r="B5" s="4" t="s">
        <v>124</v>
      </c>
      <c r="C5" s="4" t="s">
        <v>125</v>
      </c>
      <c r="D5" s="4" t="s">
        <v>126</v>
      </c>
      <c r="E5" s="4" t="s">
        <v>127</v>
      </c>
    </row>
    <row r="6" customFormat="false" ht="12.75" hidden="false" customHeight="true" outlineLevel="0" collapsed="false">
      <c r="A6" s="4" t="s">
        <v>123</v>
      </c>
      <c r="B6" s="4" t="s">
        <v>128</v>
      </c>
      <c r="C6" s="4" t="s">
        <v>129</v>
      </c>
      <c r="D6" s="4" t="s">
        <v>130</v>
      </c>
      <c r="E6" s="4" t="s">
        <v>131</v>
      </c>
    </row>
    <row r="7" customFormat="false" ht="12.75" hidden="false" customHeight="true" outlineLevel="0" collapsed="false">
      <c r="A7" s="4" t="s">
        <v>123</v>
      </c>
      <c r="B7" s="4" t="s">
        <v>128</v>
      </c>
      <c r="C7" s="4" t="s">
        <v>132</v>
      </c>
      <c r="D7" s="4" t="s">
        <v>133</v>
      </c>
      <c r="E7" s="4" t="s">
        <v>134</v>
      </c>
    </row>
    <row r="8" customFormat="false" ht="23.25" hidden="false" customHeight="true" outlineLevel="0" collapsed="false">
      <c r="A8" s="4" t="s">
        <v>135</v>
      </c>
      <c r="B8" s="4" t="s">
        <v>136</v>
      </c>
      <c r="C8" s="4" t="s">
        <v>137</v>
      </c>
      <c r="D8" s="4" t="s">
        <v>138</v>
      </c>
      <c r="E8" s="4" t="s">
        <v>139</v>
      </c>
    </row>
    <row r="9" customFormat="false" ht="23.25" hidden="false" customHeight="true" outlineLevel="0" collapsed="false">
      <c r="A9" s="4" t="s">
        <v>135</v>
      </c>
      <c r="B9" s="4" t="s">
        <v>140</v>
      </c>
      <c r="C9" s="4" t="s">
        <v>141</v>
      </c>
      <c r="D9" s="4" t="s">
        <v>142</v>
      </c>
      <c r="E9" s="4" t="s">
        <v>143</v>
      </c>
    </row>
    <row r="10" customFormat="false" ht="23.25" hidden="false" customHeight="true" outlineLevel="0" collapsed="false">
      <c r="A10" s="4" t="s">
        <v>7</v>
      </c>
      <c r="B10" s="4" t="s">
        <v>144</v>
      </c>
      <c r="C10" s="4" t="s">
        <v>145</v>
      </c>
      <c r="D10" s="4" t="s">
        <v>146</v>
      </c>
      <c r="E10" s="4" t="s">
        <v>147</v>
      </c>
    </row>
    <row r="11" customFormat="false" ht="23.25" hidden="false" customHeight="true" outlineLevel="0" collapsed="false">
      <c r="A11" s="4" t="s">
        <v>148</v>
      </c>
      <c r="B11" s="4" t="s">
        <v>149</v>
      </c>
      <c r="C11" s="4" t="s">
        <v>150</v>
      </c>
      <c r="D11" s="4" t="s">
        <v>151</v>
      </c>
      <c r="E11" s="4" t="s">
        <v>152</v>
      </c>
    </row>
    <row r="12" customFormat="false" ht="12.75" hidden="false" customHeight="true" outlineLevel="0" collapsed="false">
      <c r="A12" s="4" t="s">
        <v>153</v>
      </c>
      <c r="B12" s="4" t="s">
        <v>154</v>
      </c>
      <c r="C12" s="4" t="s">
        <v>155</v>
      </c>
      <c r="D12" s="4" t="s">
        <v>156</v>
      </c>
      <c r="E12" s="4" t="s">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1" width="24"/>
    <col collapsed="false" customWidth="true" hidden="false" outlineLevel="0" max="3" min="2" style="1" width="12"/>
    <col collapsed="false" customWidth="true" hidden="false" outlineLevel="0" max="4" min="4" style="1" width="14"/>
    <col collapsed="false" customWidth="true" hidden="false" outlineLevel="0" max="5" min="5" style="1" width="70"/>
  </cols>
  <sheetData>
    <row r="1" customFormat="false" ht="13.5" hidden="false" customHeight="true" outlineLevel="0" collapsed="false">
      <c r="A1" s="18" t="s">
        <v>158</v>
      </c>
      <c r="B1" s="18" t="s">
        <v>159</v>
      </c>
      <c r="C1" s="18" t="s">
        <v>160</v>
      </c>
      <c r="D1" s="18" t="s">
        <v>161</v>
      </c>
      <c r="E1" s="18" t="s">
        <v>38</v>
      </c>
    </row>
    <row r="2" customFormat="false" ht="23.25" hidden="false" customHeight="true" outlineLevel="0" collapsed="false">
      <c r="A2" s="4" t="s">
        <v>162</v>
      </c>
      <c r="B2" s="4" t="s">
        <v>163</v>
      </c>
      <c r="C2" s="4" t="s">
        <v>164</v>
      </c>
      <c r="D2" s="4" t="s">
        <v>165</v>
      </c>
      <c r="E2" s="4" t="s">
        <v>166</v>
      </c>
    </row>
    <row r="3" customFormat="false" ht="12.75" hidden="false" customHeight="true" outlineLevel="0" collapsed="false">
      <c r="A3" s="4" t="s">
        <v>167</v>
      </c>
      <c r="B3" s="4" t="s">
        <v>168</v>
      </c>
      <c r="C3" s="4" t="s">
        <v>169</v>
      </c>
      <c r="D3" s="4" t="s">
        <v>170</v>
      </c>
      <c r="E3" s="4" t="s">
        <v>171</v>
      </c>
    </row>
    <row r="4" customFormat="false" ht="12.75" hidden="false" customHeight="true" outlineLevel="0" collapsed="false">
      <c r="A4" s="4" t="s">
        <v>172</v>
      </c>
      <c r="B4" s="4" t="s">
        <v>173</v>
      </c>
      <c r="C4" s="4" t="s">
        <v>174</v>
      </c>
      <c r="D4" s="4" t="s">
        <v>175</v>
      </c>
      <c r="E4" s="4" t="s">
        <v>176</v>
      </c>
    </row>
    <row r="5" customFormat="false" ht="12.75" hidden="false" customHeight="true" outlineLevel="0" collapsed="false">
      <c r="A5" s="4" t="s">
        <v>177</v>
      </c>
      <c r="B5" s="4" t="s">
        <v>178</v>
      </c>
      <c r="C5" s="4" t="s">
        <v>179</v>
      </c>
      <c r="D5" s="4" t="s">
        <v>175</v>
      </c>
      <c r="E5" s="4" t="s">
        <v>180</v>
      </c>
    </row>
    <row r="6" customFormat="false" ht="12.75" hidden="false" customHeight="true" outlineLevel="0" collapsed="false">
      <c r="A6" s="4" t="s">
        <v>181</v>
      </c>
      <c r="B6" s="4" t="s">
        <v>182</v>
      </c>
      <c r="C6" s="4" t="s">
        <v>183</v>
      </c>
      <c r="D6" s="4" t="s">
        <v>184</v>
      </c>
      <c r="E6" s="4" t="s">
        <v>185</v>
      </c>
    </row>
    <row r="7" customFormat="false" ht="12.75" hidden="false" customHeight="true" outlineLevel="0" collapsed="false">
      <c r="A7" s="4" t="s">
        <v>181</v>
      </c>
      <c r="B7" s="4" t="s">
        <v>186</v>
      </c>
      <c r="C7" s="4" t="s">
        <v>187</v>
      </c>
      <c r="D7" s="4" t="s">
        <v>184</v>
      </c>
      <c r="E7" s="4" t="s">
        <v>188</v>
      </c>
    </row>
    <row r="8" customFormat="false" ht="12.75" hidden="false" customHeight="true" outlineLevel="0" collapsed="false">
      <c r="A8" s="4" t="s">
        <v>181</v>
      </c>
      <c r="B8" s="4" t="s">
        <v>189</v>
      </c>
      <c r="C8" s="4" t="s">
        <v>190</v>
      </c>
      <c r="D8" s="4" t="s">
        <v>184</v>
      </c>
      <c r="E8" s="4" t="s">
        <v>191</v>
      </c>
    </row>
    <row r="9" customFormat="false" ht="12.75" hidden="false" customHeight="true" outlineLevel="0" collapsed="false">
      <c r="A9" s="4" t="s">
        <v>181</v>
      </c>
      <c r="B9" s="4" t="s">
        <v>192</v>
      </c>
      <c r="C9" s="4" t="s">
        <v>193</v>
      </c>
      <c r="D9" s="4" t="s">
        <v>184</v>
      </c>
      <c r="E9" s="4" t="s">
        <v>185</v>
      </c>
    </row>
    <row r="10" customFormat="false" ht="12.75" hidden="false" customHeight="true" outlineLevel="0" collapsed="false">
      <c r="A10" s="4" t="s">
        <v>194</v>
      </c>
      <c r="B10" s="4" t="s">
        <v>195</v>
      </c>
      <c r="C10" s="4" t="s">
        <v>196</v>
      </c>
      <c r="D10" s="4" t="s">
        <v>197</v>
      </c>
      <c r="E10" s="4" t="s">
        <v>198</v>
      </c>
    </row>
    <row r="11" customFormat="false" ht="12.75" hidden="false" customHeight="true" outlineLevel="0" collapsed="false">
      <c r="A11" s="4" t="s">
        <v>199</v>
      </c>
      <c r="B11" s="4" t="s">
        <v>200</v>
      </c>
      <c r="C11" s="4" t="s">
        <v>201</v>
      </c>
      <c r="D11" s="4" t="s">
        <v>202</v>
      </c>
      <c r="E11" s="4"/>
    </row>
    <row r="12" customFormat="false" ht="12.75" hidden="false" customHeight="true" outlineLevel="0" collapsed="false">
      <c r="A12" s="4" t="s">
        <v>7</v>
      </c>
      <c r="B12" s="4" t="s">
        <v>203</v>
      </c>
      <c r="C12" s="4" t="s">
        <v>204</v>
      </c>
      <c r="D12" s="4" t="s">
        <v>202</v>
      </c>
      <c r="E12" s="4" t="s">
        <v>205</v>
      </c>
    </row>
    <row r="13" customFormat="false" ht="13.5" hidden="false" customHeight="true" outlineLevel="0" collapsed="false">
      <c r="A13" s="4" t="s">
        <v>206</v>
      </c>
      <c r="B13" s="4" t="s">
        <v>207</v>
      </c>
      <c r="C13" s="4" t="s">
        <v>184</v>
      </c>
      <c r="D13" s="4" t="s">
        <v>206</v>
      </c>
      <c r="E13" s="4" t="s">
        <v>208</v>
      </c>
    </row>
    <row r="14" customFormat="false" ht="13.5" hidden="false" customHeight="true" outlineLevel="0" collapsed="false">
      <c r="A14" s="3"/>
      <c r="E14" s="4"/>
    </row>
    <row r="15" customFormat="false" ht="15" hidden="false" customHeight="false" outlineLevel="0" collapsed="false">
      <c r="A15" s="19" t="s">
        <v>209</v>
      </c>
      <c r="E15" s="20"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8" activeCellId="0" sqref="B38"/>
    </sheetView>
  </sheetViews>
  <sheetFormatPr defaultColWidth="8.59765625" defaultRowHeight="15" customHeight="false"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3" min="3" style="1" width="14"/>
    <col collapsed="false" customWidth="true" hidden="false" outlineLevel="0" max="4" min="4" style="1" width="80"/>
  </cols>
  <sheetData>
    <row r="1" customFormat="false" ht="13.5" hidden="false" customHeight="true" outlineLevel="0" collapsed="false">
      <c r="A1" s="6" t="s">
        <v>211</v>
      </c>
      <c r="B1" s="6" t="s">
        <v>212</v>
      </c>
      <c r="C1" s="6" t="s">
        <v>213</v>
      </c>
      <c r="D1" s="6" t="s">
        <v>214</v>
      </c>
    </row>
    <row r="2" customFormat="false" ht="23.25" hidden="false" customHeight="true" outlineLevel="0" collapsed="false">
      <c r="A2" s="4" t="s">
        <v>215</v>
      </c>
      <c r="B2" s="4" t="s">
        <v>216</v>
      </c>
      <c r="C2" s="21" t="n">
        <v>22</v>
      </c>
      <c r="D2" s="4" t="s">
        <v>217</v>
      </c>
    </row>
    <row r="3" customFormat="false" ht="12.75" hidden="false" customHeight="true" outlineLevel="0" collapsed="false">
      <c r="A3" s="4" t="s">
        <v>215</v>
      </c>
      <c r="B3" s="4" t="s">
        <v>218</v>
      </c>
      <c r="C3" s="21" t="n">
        <v>20</v>
      </c>
      <c r="D3" s="4" t="s">
        <v>219</v>
      </c>
    </row>
    <row r="4" customFormat="false" ht="12.75" hidden="false" customHeight="true" outlineLevel="0" collapsed="false">
      <c r="A4" s="4" t="s">
        <v>215</v>
      </c>
      <c r="B4" s="4" t="s">
        <v>220</v>
      </c>
      <c r="C4" s="21" t="n">
        <v>100</v>
      </c>
      <c r="D4" s="4" t="s">
        <v>221</v>
      </c>
    </row>
    <row r="5" customFormat="false" ht="23.25" hidden="false" customHeight="true" outlineLevel="0" collapsed="false">
      <c r="A5" s="4" t="s">
        <v>222</v>
      </c>
      <c r="B5" s="4" t="s">
        <v>223</v>
      </c>
      <c r="C5" s="21" t="n">
        <v>0.043</v>
      </c>
      <c r="D5" s="4" t="s">
        <v>224</v>
      </c>
    </row>
    <row r="6" customFormat="false" ht="12.75" hidden="false" customHeight="true" outlineLevel="0" collapsed="false">
      <c r="A6" s="4" t="s">
        <v>225</v>
      </c>
      <c r="B6" s="4" t="s">
        <v>226</v>
      </c>
      <c r="C6" s="21" t="n">
        <v>12</v>
      </c>
      <c r="D6" s="4" t="s">
        <v>227</v>
      </c>
    </row>
    <row r="7" customFormat="false" ht="12.75" hidden="false" customHeight="true" outlineLevel="0" collapsed="false">
      <c r="A7" s="4" t="s">
        <v>225</v>
      </c>
      <c r="B7" s="4" t="s">
        <v>228</v>
      </c>
      <c r="C7" s="21" t="n">
        <v>0.01</v>
      </c>
      <c r="D7" s="4" t="s">
        <v>229</v>
      </c>
    </row>
    <row r="8" customFormat="false" ht="12.75" hidden="false" customHeight="true" outlineLevel="0" collapsed="false">
      <c r="A8" s="4" t="s">
        <v>128</v>
      </c>
      <c r="B8" s="4" t="s">
        <v>230</v>
      </c>
      <c r="C8" s="21" t="n">
        <v>3.9</v>
      </c>
      <c r="D8" s="4" t="s">
        <v>231</v>
      </c>
    </row>
    <row r="9" customFormat="false" ht="12.75" hidden="false" customHeight="true" outlineLevel="0" collapsed="false">
      <c r="A9" s="4" t="s">
        <v>128</v>
      </c>
      <c r="B9" s="4" t="s">
        <v>232</v>
      </c>
      <c r="C9" s="21" t="n">
        <v>0.005</v>
      </c>
      <c r="D9" s="4" t="s">
        <v>233</v>
      </c>
    </row>
    <row r="10" customFormat="false" ht="12.75" hidden="false" customHeight="true" outlineLevel="0" collapsed="false">
      <c r="A10" s="4" t="s">
        <v>119</v>
      </c>
      <c r="B10" s="4" t="s">
        <v>234</v>
      </c>
      <c r="C10" s="21" t="n">
        <v>6</v>
      </c>
      <c r="D10" s="4" t="s">
        <v>235</v>
      </c>
    </row>
    <row r="11" customFormat="false" ht="12.75" hidden="false" customHeight="true" outlineLevel="0" collapsed="false">
      <c r="A11" s="4" t="s">
        <v>119</v>
      </c>
      <c r="B11" s="4" t="s">
        <v>236</v>
      </c>
      <c r="C11" s="21" t="n">
        <v>0.0007</v>
      </c>
      <c r="D11" s="4" t="s">
        <v>237</v>
      </c>
    </row>
    <row r="12" customFormat="false" ht="12.75" hidden="false" customHeight="true" outlineLevel="0" collapsed="false">
      <c r="A12" s="4" t="s">
        <v>238</v>
      </c>
      <c r="B12" s="4" t="s">
        <v>239</v>
      </c>
      <c r="C12" s="21" t="n">
        <v>1</v>
      </c>
      <c r="D12" s="4" t="s">
        <v>240</v>
      </c>
    </row>
    <row r="13" customFormat="false" ht="12.75" hidden="false" customHeight="true" outlineLevel="0" collapsed="false">
      <c r="A13" s="4" t="s">
        <v>238</v>
      </c>
      <c r="B13" s="4" t="s">
        <v>241</v>
      </c>
      <c r="C13" s="21" t="n">
        <v>3</v>
      </c>
      <c r="D13" s="4" t="s">
        <v>242</v>
      </c>
    </row>
    <row r="14" customFormat="false" ht="13.5" hidden="false" customHeight="true" outlineLevel="0" collapsed="false"/>
    <row r="15" customFormat="false" ht="13.5" hidden="false" customHeight="true" outlineLevel="0" collapsed="false">
      <c r="A15" s="3" t="s">
        <v>243</v>
      </c>
    </row>
    <row r="16" customFormat="false" ht="13.5" hidden="false" customHeight="true" outlineLevel="0" collapsed="false">
      <c r="B16" s="4" t="s">
        <v>244</v>
      </c>
      <c r="C16" s="4" t="s">
        <v>245</v>
      </c>
      <c r="D16" s="4" t="s">
        <v>246</v>
      </c>
    </row>
    <row r="17" customFormat="false" ht="13.5" hidden="false" customHeight="true" outlineLevel="0" collapsed="false">
      <c r="B17" s="4" t="s">
        <v>247</v>
      </c>
      <c r="C17" s="4" t="s">
        <v>248</v>
      </c>
      <c r="D17" s="4" t="s">
        <v>246</v>
      </c>
    </row>
    <row r="18" customFormat="false" ht="13.5" hidden="false" customHeight="true" outlineLevel="0" collapsed="false">
      <c r="B18" s="4" t="s">
        <v>249</v>
      </c>
      <c r="C18" s="4" t="s">
        <v>250</v>
      </c>
      <c r="D18" s="4" t="s">
        <v>246</v>
      </c>
    </row>
    <row r="19" customFormat="false" ht="13.5" hidden="false" customHeight="true" outlineLevel="0" collapsed="false">
      <c r="B19" s="4" t="s">
        <v>223</v>
      </c>
      <c r="C19" s="4" t="s">
        <v>251</v>
      </c>
      <c r="D19" s="4" t="s">
        <v>246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1" width="44"/>
    <col collapsed="false" customWidth="true" hidden="false" outlineLevel="0" max="8" min="2" style="1" width="14"/>
    <col collapsed="false" customWidth="true" hidden="false" outlineLevel="0" max="9" min="9" style="1" width="12"/>
    <col collapsed="false" customWidth="true" hidden="false" outlineLevel="0" max="10" min="10" style="1" width="40"/>
  </cols>
  <sheetData>
    <row r="1" customFormat="false" ht="15.75" hidden="false" customHeight="true" outlineLevel="0" collapsed="false">
      <c r="A1" s="22" t="s">
        <v>252</v>
      </c>
    </row>
    <row r="2" customFormat="false" ht="13.5" hidden="false" customHeight="true" outlineLevel="0" collapsed="false"/>
    <row r="3" customFormat="false" ht="13.5" hidden="false" customHeight="true" outlineLevel="0" collapsed="false">
      <c r="A3" s="3" t="s">
        <v>253</v>
      </c>
      <c r="B3" s="5" t="n">
        <v>300</v>
      </c>
      <c r="C3" s="5" t="s">
        <v>254</v>
      </c>
    </row>
    <row r="4" customFormat="false" ht="13.5" hidden="false" customHeight="true" outlineLevel="0" collapsed="false">
      <c r="A4" s="3" t="s">
        <v>255</v>
      </c>
      <c r="B4" s="23" t="n">
        <v>0.8</v>
      </c>
      <c r="C4" s="5" t="s">
        <v>256</v>
      </c>
    </row>
    <row r="5" customFormat="false" ht="13.5" hidden="false" customHeight="true" outlineLevel="0" collapsed="false">
      <c r="A5" s="3" t="s">
        <v>257</v>
      </c>
      <c r="B5" s="12" t="n">
        <f aca="false">B3*B4</f>
        <v>240</v>
      </c>
    </row>
    <row r="6" customFormat="false" ht="13.5" hidden="false" customHeight="true" outlineLevel="0" collapsed="false"/>
    <row r="7" customFormat="false" ht="13.5" hidden="false" customHeight="true" outlineLevel="0" collapsed="false">
      <c r="A7" s="3" t="s">
        <v>258</v>
      </c>
    </row>
    <row r="8" customFormat="false" ht="13.5" hidden="false" customHeight="true" outlineLevel="0" collapsed="false">
      <c r="A8" s="5" t="s">
        <v>259</v>
      </c>
      <c r="B8" s="5" t="n">
        <v>50</v>
      </c>
    </row>
    <row r="9" customFormat="false" ht="13.5" hidden="false" customHeight="true" outlineLevel="0" collapsed="false">
      <c r="A9" s="5" t="s">
        <v>260</v>
      </c>
      <c r="B9" s="5" t="n">
        <v>30</v>
      </c>
    </row>
    <row r="10" customFormat="false" ht="13.5" hidden="false" customHeight="true" outlineLevel="0" collapsed="false">
      <c r="A10" s="5" t="s">
        <v>261</v>
      </c>
      <c r="B10" s="5" t="n">
        <v>5</v>
      </c>
    </row>
    <row r="11" customFormat="false" ht="13.5" hidden="false" customHeight="true" outlineLevel="0" collapsed="false">
      <c r="A11" s="5" t="s">
        <v>262</v>
      </c>
      <c r="B11" s="5" t="n">
        <v>30</v>
      </c>
    </row>
    <row r="12" customFormat="false" ht="13.5" hidden="false" customHeight="true" outlineLevel="0" collapsed="false">
      <c r="A12" s="5" t="s">
        <v>263</v>
      </c>
      <c r="B12" s="24" t="n">
        <f aca="false">B8*B9/3600</f>
        <v>0.416666666666667</v>
      </c>
      <c r="C12" s="5" t="s">
        <v>264</v>
      </c>
    </row>
    <row r="13" customFormat="false" ht="13.5" hidden="false" customHeight="true" outlineLevel="0" collapsed="false">
      <c r="A13" s="5" t="s">
        <v>265</v>
      </c>
      <c r="B13" s="24" t="n">
        <f aca="false">B10*B11/3600</f>
        <v>0.0416666666666667</v>
      </c>
    </row>
    <row r="14" customFormat="false" ht="13.5" hidden="false" customHeight="true" outlineLevel="0" collapsed="false"/>
    <row r="15" customFormat="false" ht="15" hidden="false" customHeight="true" outlineLevel="0" collapsed="false">
      <c r="A15" s="6" t="s">
        <v>266</v>
      </c>
      <c r="B15" s="6" t="s">
        <v>213</v>
      </c>
      <c r="C15" s="25" t="s">
        <v>267</v>
      </c>
      <c r="D15" s="25"/>
      <c r="E15" s="25"/>
      <c r="F15" s="25"/>
      <c r="G15" s="25"/>
      <c r="H15" s="25"/>
      <c r="I15" s="25"/>
      <c r="J15" s="25"/>
    </row>
    <row r="16" customFormat="false" ht="15" hidden="false" customHeight="true" outlineLevel="0" collapsed="false">
      <c r="A16" s="4" t="s">
        <v>268</v>
      </c>
      <c r="B16" s="21" t="n">
        <f aca="false">'Power Budget'!C2+'Power Budget'!C6+'Power Budget'!C8</f>
        <v>37.9</v>
      </c>
      <c r="C16" s="26" t="s">
        <v>269</v>
      </c>
      <c r="D16" s="26"/>
      <c r="E16" s="26"/>
      <c r="F16" s="26"/>
      <c r="G16" s="26"/>
      <c r="H16" s="26"/>
      <c r="I16" s="26"/>
      <c r="J16" s="26"/>
    </row>
    <row r="17" customFormat="false" ht="15" hidden="false" customHeight="true" outlineLevel="0" collapsed="false">
      <c r="A17" s="4" t="s">
        <v>270</v>
      </c>
      <c r="B17" s="21" t="n">
        <f aca="false">'Power Budget'!C3+'Power Budget'!C6+'Power Budget'!C8</f>
        <v>35.9</v>
      </c>
      <c r="C17" s="26" t="s">
        <v>271</v>
      </c>
      <c r="D17" s="26"/>
      <c r="E17" s="26"/>
      <c r="F17" s="26"/>
      <c r="G17" s="26"/>
      <c r="H17" s="26"/>
      <c r="I17" s="26"/>
      <c r="J17" s="26"/>
    </row>
    <row r="18" customFormat="false" ht="15" hidden="false" customHeight="true" outlineLevel="0" collapsed="false">
      <c r="A18" s="4" t="s">
        <v>272</v>
      </c>
      <c r="B18" s="21" t="n">
        <f aca="false">'Power Budget'!C2+'Power Budget'!C6+'Power Budget'!C10+'Power Budget'!C8</f>
        <v>43.9</v>
      </c>
      <c r="C18" s="26" t="s">
        <v>273</v>
      </c>
      <c r="D18" s="26"/>
      <c r="E18" s="26"/>
      <c r="F18" s="26"/>
      <c r="G18" s="26"/>
      <c r="H18" s="26"/>
      <c r="I18" s="26"/>
      <c r="J18" s="26"/>
    </row>
    <row r="19" customFormat="false" ht="15" hidden="false" customHeight="true" outlineLevel="0" collapsed="false">
      <c r="A19" s="4" t="s">
        <v>274</v>
      </c>
      <c r="B19" s="21" t="n">
        <f aca="false">'Power Budget'!C4+'Power Budget'!C7+'Power Budget'!C9+'Power Budget'!C11</f>
        <v>100.0157</v>
      </c>
      <c r="C19" s="26" t="s">
        <v>275</v>
      </c>
      <c r="D19" s="26"/>
      <c r="E19" s="26"/>
      <c r="F19" s="26"/>
      <c r="G19" s="26"/>
      <c r="H19" s="26"/>
      <c r="I19" s="26"/>
      <c r="J19" s="26"/>
    </row>
    <row r="20" customFormat="false" ht="15" hidden="false" customHeight="true" outlineLevel="0" collapsed="false">
      <c r="A20" s="4" t="s">
        <v>276</v>
      </c>
      <c r="B20" s="21" t="n">
        <f aca="false">'Power Budget'!C12</f>
        <v>1</v>
      </c>
      <c r="C20" s="26" t="s">
        <v>277</v>
      </c>
      <c r="D20" s="26"/>
      <c r="E20" s="26"/>
      <c r="F20" s="26"/>
      <c r="G20" s="26"/>
      <c r="H20" s="26"/>
      <c r="I20" s="26"/>
      <c r="J20" s="26"/>
    </row>
    <row r="21" customFormat="false" ht="15" hidden="false" customHeight="true" outlineLevel="0" collapsed="false">
      <c r="A21" s="4" t="s">
        <v>278</v>
      </c>
      <c r="B21" s="21" t="n">
        <f aca="false">'Power Budget'!C13</f>
        <v>3</v>
      </c>
      <c r="C21" s="26" t="s">
        <v>279</v>
      </c>
      <c r="D21" s="26"/>
      <c r="E21" s="26"/>
      <c r="F21" s="26"/>
      <c r="G21" s="26"/>
      <c r="H21" s="26"/>
      <c r="I21" s="26"/>
      <c r="J21" s="26"/>
    </row>
    <row r="22" customFormat="false" ht="15" hidden="false" customHeight="true" outlineLevel="0" collapsed="false">
      <c r="A22" s="4" t="s">
        <v>280</v>
      </c>
      <c r="B22" s="21" t="n">
        <f aca="false">'Power Budget'!C5+'Power Budget'!C7+'Power Budget'!C9+'Power Budget'!C11</f>
        <v>0.0587</v>
      </c>
      <c r="C22" s="26" t="s">
        <v>281</v>
      </c>
      <c r="D22" s="26"/>
      <c r="E22" s="26"/>
      <c r="F22" s="26"/>
      <c r="G22" s="26"/>
      <c r="H22" s="26"/>
      <c r="I22" s="26"/>
      <c r="J22" s="26"/>
    </row>
    <row r="23" customFormat="false" ht="13.5" hidden="false" customHeight="true" outlineLevel="0" collapsed="false"/>
    <row r="24" customFormat="false" ht="13.5" hidden="false" customHeight="true" outlineLevel="0" collapsed="false">
      <c r="A24" s="3" t="s">
        <v>282</v>
      </c>
    </row>
    <row r="25" customFormat="false" ht="13.5" hidden="false" customHeight="true" outlineLevel="0" collapsed="false">
      <c r="A25" s="6" t="s">
        <v>283</v>
      </c>
      <c r="B25" s="6" t="s">
        <v>284</v>
      </c>
      <c r="C25" s="6" t="s">
        <v>285</v>
      </c>
      <c r="D25" s="6" t="s">
        <v>286</v>
      </c>
      <c r="E25" s="6" t="s">
        <v>287</v>
      </c>
      <c r="F25" s="6" t="s">
        <v>288</v>
      </c>
      <c r="G25" s="6" t="s">
        <v>289</v>
      </c>
      <c r="H25" s="6" t="s">
        <v>290</v>
      </c>
      <c r="I25" s="6" t="s">
        <v>291</v>
      </c>
      <c r="J25" s="6" t="s">
        <v>292</v>
      </c>
    </row>
    <row r="26" customFormat="false" ht="23.25" hidden="false" customHeight="true" outlineLevel="0" collapsed="false">
      <c r="A26" s="4" t="s">
        <v>293</v>
      </c>
      <c r="B26" s="21" t="n">
        <f aca="false">24-(C26+D26+E26+F26+G26+H26)</f>
        <v>23.99</v>
      </c>
      <c r="C26" s="21" t="n">
        <v>0</v>
      </c>
      <c r="D26" s="21" t="n">
        <v>0</v>
      </c>
      <c r="E26" s="21" t="n">
        <v>0.01</v>
      </c>
      <c r="F26" s="21" t="n">
        <v>0</v>
      </c>
      <c r="G26" s="21" t="n">
        <v>0</v>
      </c>
      <c r="H26" s="21" t="n">
        <v>0</v>
      </c>
      <c r="I26" s="27" t="n">
        <f aca="false">SUM(B26:H26)</f>
        <v>24</v>
      </c>
      <c r="J26" s="4" t="s">
        <v>294</v>
      </c>
    </row>
    <row r="27" customFormat="false" ht="23.25" hidden="false" customHeight="true" outlineLevel="0" collapsed="false">
      <c r="A27" s="4" t="s">
        <v>295</v>
      </c>
      <c r="B27" s="21" t="n">
        <v>0</v>
      </c>
      <c r="C27" s="21" t="n">
        <f aca="false">$B$12</f>
        <v>0.416666666666667</v>
      </c>
      <c r="D27" s="21" t="n">
        <f aca="false">$B$13</f>
        <v>0.0416666666666667</v>
      </c>
      <c r="E27" s="21" t="n">
        <v>0</v>
      </c>
      <c r="F27" s="21" t="n">
        <f aca="false">24-(B27+C27+D27+E27+G27+H27)</f>
        <v>23.5416666666667</v>
      </c>
      <c r="G27" s="21" t="n">
        <v>0</v>
      </c>
      <c r="H27" s="21" t="n">
        <v>0</v>
      </c>
      <c r="I27" s="27" t="n">
        <f aca="false">SUM(B27:H27)</f>
        <v>24</v>
      </c>
      <c r="J27" s="4" t="s">
        <v>296</v>
      </c>
    </row>
    <row r="28" customFormat="false" ht="12.75" hidden="false" customHeight="true" outlineLevel="0" collapsed="false">
      <c r="A28" s="4" t="s">
        <v>297</v>
      </c>
      <c r="B28" s="21" t="n">
        <v>0</v>
      </c>
      <c r="C28" s="21" t="n">
        <f aca="false">$B$12</f>
        <v>0.416666666666667</v>
      </c>
      <c r="D28" s="21" t="n">
        <f aca="false">$B$13</f>
        <v>0.0416666666666667</v>
      </c>
      <c r="E28" s="21" t="n">
        <v>0</v>
      </c>
      <c r="F28" s="21" t="n">
        <v>0</v>
      </c>
      <c r="G28" s="21" t="n">
        <f aca="false">24-(B28+C28+D28+E28+F28+H28)</f>
        <v>23.5416666666667</v>
      </c>
      <c r="H28" s="21" t="n">
        <v>0</v>
      </c>
      <c r="I28" s="27" t="n">
        <f aca="false">SUM(B28:H28)</f>
        <v>24</v>
      </c>
      <c r="J28" s="4" t="s">
        <v>298</v>
      </c>
    </row>
    <row r="29" customFormat="false" ht="23.25" hidden="false" customHeight="true" outlineLevel="0" collapsed="false">
      <c r="A29" s="4" t="s">
        <v>299</v>
      </c>
      <c r="B29" s="21" t="n">
        <v>0</v>
      </c>
      <c r="C29" s="21" t="n">
        <f aca="false">$B$12</f>
        <v>0.416666666666667</v>
      </c>
      <c r="D29" s="21" t="n">
        <f aca="false">$B$13</f>
        <v>0.0416666666666667</v>
      </c>
      <c r="E29" s="21" t="n">
        <v>0</v>
      </c>
      <c r="F29" s="21" t="n">
        <v>0</v>
      </c>
      <c r="G29" s="21" t="n">
        <v>0</v>
      </c>
      <c r="H29" s="21" t="n">
        <f aca="false">24-(B29+C29+D29+E29+F29+G29)</f>
        <v>23.5416666666667</v>
      </c>
      <c r="I29" s="27" t="n">
        <f aca="false">SUM(B29:H29)</f>
        <v>24</v>
      </c>
      <c r="J29" s="4" t="s">
        <v>300</v>
      </c>
    </row>
    <row r="30" customFormat="false" ht="12.75" hidden="false" customHeight="true" outlineLevel="0" collapsed="false">
      <c r="A30" s="4" t="s">
        <v>301</v>
      </c>
      <c r="B30" s="21" t="n">
        <v>0</v>
      </c>
      <c r="C30" s="21" t="n">
        <v>0</v>
      </c>
      <c r="D30" s="21" t="n">
        <f aca="false">24-(B30+C30+E30+F30+G30+H30)</f>
        <v>24</v>
      </c>
      <c r="E30" s="21" t="n">
        <v>0</v>
      </c>
      <c r="F30" s="21" t="n">
        <v>0</v>
      </c>
      <c r="G30" s="21" t="n">
        <v>0</v>
      </c>
      <c r="H30" s="21" t="n">
        <v>0</v>
      </c>
      <c r="I30" s="27" t="n">
        <f aca="false">SUM(B30:H30)</f>
        <v>24</v>
      </c>
      <c r="J30" s="4" t="s">
        <v>302</v>
      </c>
    </row>
    <row r="31" customFormat="false" ht="13.5" hidden="false" customHeight="true" outlineLevel="0" collapsed="false"/>
    <row r="32" customFormat="false" ht="13.5" hidden="false" customHeight="true" outlineLevel="0" collapsed="false">
      <c r="A32" s="3" t="s">
        <v>303</v>
      </c>
    </row>
    <row r="33" customFormat="false" ht="26.25" hidden="false" customHeight="true" outlineLevel="0" collapsed="false">
      <c r="A33" s="6" t="s">
        <v>283</v>
      </c>
      <c r="B33" s="6" t="s">
        <v>304</v>
      </c>
      <c r="C33" s="6" t="s">
        <v>305</v>
      </c>
      <c r="D33" s="6" t="s">
        <v>306</v>
      </c>
      <c r="E33" s="6" t="s">
        <v>307</v>
      </c>
    </row>
    <row r="34" customFormat="false" ht="13.5" hidden="false" customHeight="true" outlineLevel="0" collapsed="false">
      <c r="A34" s="4" t="str">
        <f aca="false">A26</f>
        <v>A. Today's firmware, always on</v>
      </c>
      <c r="B34" s="27" t="n">
        <f aca="false">C34/24</f>
        <v>37.9258815416667</v>
      </c>
      <c r="C34" s="28" t="n">
        <f aca="false">B26*$B$16+C26*$B$17+D26*$B$18+E26*$B$19+F26*$B$20+G26*$B$21+H26*$B$22</f>
        <v>910.221157</v>
      </c>
      <c r="D34" s="28" t="n">
        <f aca="false">IF(C34=0,"",$B$5/C34*24)</f>
        <v>6.32813240573796</v>
      </c>
      <c r="E34" s="28" t="n">
        <f aca="false">IF(C34=0,"",$B$5/C34)</f>
        <v>0.263672183572415</v>
      </c>
    </row>
    <row r="35" customFormat="false" ht="13.5" hidden="false" customHeight="true" outlineLevel="0" collapsed="false">
      <c r="A35" s="4" t="str">
        <f aca="false">A27</f>
        <v>B. Planned profile, sleep low (1 mA)</v>
      </c>
      <c r="B35" s="27" t="n">
        <f aca="false">C35/24</f>
        <v>1.68038194444444</v>
      </c>
      <c r="C35" s="28" t="n">
        <f aca="false">B27*$B$16+C27*$B$17+D27*$B$18+E27*$B$19+F27*$B$20+G27*$B$21+H27*$B$22</f>
        <v>40.3291666666667</v>
      </c>
      <c r="D35" s="28" t="n">
        <f aca="false">IF(C35=0,"",$B$5/C35*24)</f>
        <v>142.824671970245</v>
      </c>
      <c r="E35" s="28" t="n">
        <f aca="false">IF(C35=0,"",$B$5/C35)</f>
        <v>5.9510279987602</v>
      </c>
    </row>
    <row r="36" customFormat="false" ht="13.5" hidden="false" customHeight="true" outlineLevel="0" collapsed="false">
      <c r="A36" s="4" t="str">
        <f aca="false">A28</f>
        <v>C. Planned profile, sleep high (3 mA)</v>
      </c>
      <c r="B36" s="27" t="n">
        <f aca="false">C36/24</f>
        <v>3.6421875</v>
      </c>
      <c r="C36" s="28" t="n">
        <f aca="false">B28*$B$16+C28*$B$17+D28*$B$18+E28*$B$19+F28*$B$20+G28*$B$21+H28*$B$22</f>
        <v>87.4125</v>
      </c>
      <c r="D36" s="28" t="n">
        <f aca="false">IF(C36=0,"",$B$5/C36*24)</f>
        <v>65.8944658944659</v>
      </c>
      <c r="E36" s="28" t="n">
        <f aca="false">IF(C36=0,"",$B$5/C36)</f>
        <v>2.74560274560275</v>
      </c>
    </row>
    <row r="37" customFormat="false" ht="13.5" hidden="false" customHeight="true" outlineLevel="0" collapsed="false">
      <c r="A37" s="4" t="str">
        <f aca="false">A29</f>
        <v>D. Planned profile + deep sleep (illustration)</v>
      </c>
      <c r="B37" s="27" t="n">
        <f aca="false">C37/24</f>
        <v>0.757058159722222</v>
      </c>
      <c r="C37" s="28" t="n">
        <f aca="false">B29*$B$16+C29*$B$17+D29*$B$18+E29*$B$19+F29*$B$20+G29*$B$21+H29*$B$22</f>
        <v>18.1693958333333</v>
      </c>
      <c r="D37" s="28" t="n">
        <f aca="false">IF(C37=0,"",$B$5/C37*24)</f>
        <v>317.01659498401</v>
      </c>
      <c r="E37" s="28" t="n">
        <f aca="false">IF(C37=0,"",$B$5/C37)</f>
        <v>13.2090247910004</v>
      </c>
    </row>
    <row r="38" customFormat="false" ht="13.5" hidden="false" customHeight="true" outlineLevel="0" collapsed="false">
      <c r="A38" s="4" t="str">
        <f aca="false">A30</f>
        <v>E. Heart rate measured continuously</v>
      </c>
      <c r="B38" s="27" t="n">
        <f aca="false">C38/24</f>
        <v>43.9</v>
      </c>
      <c r="C38" s="28" t="n">
        <f aca="false">B30*$B$16+C30*$B$17+D30*$B$18+E30*$B$19+F30*$B$20+G30*$B$21+H30*$B$22</f>
        <v>1053.6</v>
      </c>
      <c r="D38" s="28" t="n">
        <f aca="false">IF(C38=0,"",$B$5/C38*24)</f>
        <v>5.46697038724374</v>
      </c>
      <c r="E38" s="28" t="n">
        <f aca="false">IF(C38=0,"",$B$5/C38)</f>
        <v>0.227790432801822</v>
      </c>
    </row>
    <row r="39" customFormat="false" ht="13.5" hidden="false" customHeight="true" outlineLevel="0" collapsed="false"/>
    <row r="40" customFormat="false" ht="13.5" hidden="false" customHeight="true" outlineLevel="0" collapsed="false">
      <c r="A40" s="3" t="s">
        <v>308</v>
      </c>
    </row>
    <row r="41" customFormat="false" ht="26.25" hidden="false" customHeight="true" outlineLevel="0" collapsed="false">
      <c r="A41" s="6" t="s">
        <v>309</v>
      </c>
      <c r="B41" s="6" t="s">
        <v>310</v>
      </c>
      <c r="C41" s="6" t="s">
        <v>311</v>
      </c>
      <c r="D41" s="6" t="s">
        <v>312</v>
      </c>
      <c r="E41" s="6" t="s">
        <v>313</v>
      </c>
    </row>
    <row r="42" customFormat="false" ht="13.5" hidden="false" customHeight="true" outlineLevel="0" collapsed="false">
      <c r="A42" s="4" t="s">
        <v>314</v>
      </c>
      <c r="B42" s="29" t="n">
        <v>100</v>
      </c>
      <c r="C42" s="29" t="n">
        <f aca="false">B42*$B$4</f>
        <v>80</v>
      </c>
      <c r="D42" s="28" t="n">
        <f aca="false">IF($C$35=0,"",C42/$C$35)</f>
        <v>1.98367599958673</v>
      </c>
      <c r="E42" s="28" t="n">
        <f aca="false">IF($C$36=0,"",C42/$C$36)</f>
        <v>0.915200915200915</v>
      </c>
    </row>
    <row r="43" customFormat="false" ht="13.5" hidden="false" customHeight="true" outlineLevel="0" collapsed="false">
      <c r="A43" s="4" t="s">
        <v>315</v>
      </c>
      <c r="B43" s="29" t="n">
        <v>150</v>
      </c>
      <c r="C43" s="29" t="n">
        <f aca="false">B43*$B$4</f>
        <v>120</v>
      </c>
      <c r="D43" s="28" t="n">
        <f aca="false">IF($C$35=0,"",C43/$C$35)</f>
        <v>2.9755139993801</v>
      </c>
      <c r="E43" s="28" t="n">
        <f aca="false">IF($C$36=0,"",C43/$C$36)</f>
        <v>1.37280137280137</v>
      </c>
    </row>
    <row r="44" customFormat="false" ht="13.5" hidden="false" customHeight="true" outlineLevel="0" collapsed="false">
      <c r="A44" s="4" t="s">
        <v>316</v>
      </c>
      <c r="B44" s="29" t="n">
        <v>200</v>
      </c>
      <c r="C44" s="29" t="n">
        <f aca="false">B44*$B$4</f>
        <v>160</v>
      </c>
      <c r="D44" s="28" t="n">
        <f aca="false">IF($C$35=0,"",C44/$C$35)</f>
        <v>3.96735199917347</v>
      </c>
      <c r="E44" s="28" t="n">
        <f aca="false">IF($C$36=0,"",C44/$C$36)</f>
        <v>1.83040183040183</v>
      </c>
    </row>
    <row r="45" customFormat="false" ht="13.5" hidden="false" customHeight="true" outlineLevel="0" collapsed="false">
      <c r="A45" s="4" t="s">
        <v>317</v>
      </c>
      <c r="B45" s="29" t="n">
        <f aca="false">$B$3</f>
        <v>300</v>
      </c>
      <c r="C45" s="29" t="n">
        <f aca="false">B45*$B$4</f>
        <v>240</v>
      </c>
      <c r="D45" s="28" t="n">
        <f aca="false">IF($C$35=0,"",C45/$C$35)</f>
        <v>5.9510279987602</v>
      </c>
      <c r="E45" s="28" t="n">
        <f aca="false">IF($C$36=0,"",C45/$C$36)</f>
        <v>2.74560274560275</v>
      </c>
    </row>
    <row r="46" customFormat="false" ht="13.5" hidden="false" customHeight="true" outlineLevel="0" collapsed="false"/>
    <row r="47" customFormat="false" ht="13.5" hidden="false" customHeight="true" outlineLevel="0" collapsed="false">
      <c r="A47" s="3" t="s">
        <v>38</v>
      </c>
    </row>
    <row r="48" customFormat="false" ht="13.5" hidden="false" customHeight="true" outlineLevel="0" collapsed="false">
      <c r="A48" s="5" t="s">
        <v>318</v>
      </c>
    </row>
    <row r="49" customFormat="false" ht="13.5" hidden="false" customHeight="true" outlineLevel="0" collapsed="false">
      <c r="A49" s="5" t="s">
        <v>319</v>
      </c>
    </row>
    <row r="50" customFormat="false" ht="13.5" hidden="false" customHeight="true" outlineLevel="0" collapsed="false">
      <c r="A50" s="5" t="s">
        <v>320</v>
      </c>
    </row>
    <row r="51" customFormat="false" ht="13.5" hidden="false" customHeight="true" outlineLevel="0" collapsed="false">
      <c r="A51" s="5" t="s">
        <v>321</v>
      </c>
    </row>
    <row r="52" customFormat="false" ht="13.5" hidden="false" customHeight="true" outlineLevel="0" collapsed="false">
      <c r="A52" s="5" t="s">
        <v>322</v>
      </c>
    </row>
  </sheetData>
  <mergeCells count="8">
    <mergeCell ref="C15:J15"/>
    <mergeCell ref="C16:J16"/>
    <mergeCell ref="C17:J17"/>
    <mergeCell ref="C18:J18"/>
    <mergeCell ref="C19:J19"/>
    <mergeCell ref="C20:J20"/>
    <mergeCell ref="C21:J21"/>
    <mergeCell ref="C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2026-10-03T06:18:29Z</dcterms:created>
  <dc:creator>openpyxl</dc:creator>
  <dc:description/>
  <dc:language>en-US</dc:language>
  <cp:lastModifiedBy/>
  <dcterms:modified xsi:type="dcterms:W3CDTF">2026-10-07T05:39:20Z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